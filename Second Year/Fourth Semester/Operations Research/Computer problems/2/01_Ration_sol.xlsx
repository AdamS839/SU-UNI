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PC-Admin\Desktop\SU Prepodavane\IO_Exercises_Updated\New\Exercise 2\"/>
    </mc:Choice>
  </mc:AlternateContent>
  <xr:revisionPtr revIDLastSave="0" documentId="13_ncr:1_{AA0C42F1-1471-4C8B-B683-1F1E736025FE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Answer Report 1" sheetId="2" r:id="rId1"/>
    <sheet name="Sensitivity Report 1" sheetId="3" r:id="rId2"/>
    <sheet name="1ви начин" sheetId="1" r:id="rId3"/>
    <sheet name="Answer Report 2" sheetId="5" r:id="rId4"/>
    <sheet name="Sensitivity Report 2" sheetId="6" r:id="rId5"/>
    <sheet name="2ри начин" sheetId="4" r:id="rId6"/>
  </sheets>
  <definedNames>
    <definedName name="solver_adj" localSheetId="2" hidden="1">'1ви начин'!$B$17:$C$17</definedName>
    <definedName name="solver_adj" localSheetId="5" hidden="1">'2ри начин'!$B$15:$C$15</definedName>
    <definedName name="solver_cvg" localSheetId="2" hidden="1">0.0001</definedName>
    <definedName name="solver_cvg" localSheetId="5" hidden="1">0.0001</definedName>
    <definedName name="solver_drv" localSheetId="2" hidden="1">1</definedName>
    <definedName name="solver_drv" localSheetId="5" hidden="1">1</definedName>
    <definedName name="solver_eng" localSheetId="2" hidden="1">2</definedName>
    <definedName name="solver_eng" localSheetId="5" hidden="1">2</definedName>
    <definedName name="solver_est" localSheetId="2" hidden="1">1</definedName>
    <definedName name="solver_est" localSheetId="5" hidden="1">1</definedName>
    <definedName name="solver_itr" localSheetId="2" hidden="1">2147483647</definedName>
    <definedName name="solver_itr" localSheetId="5" hidden="1">2147483647</definedName>
    <definedName name="solver_lhs1" localSheetId="2" hidden="1">'1ви начин'!$D$11:$D$12</definedName>
    <definedName name="solver_lhs1" localSheetId="5" hidden="1">'2ри начин'!$B$15</definedName>
    <definedName name="solver_lhs2" localSheetId="2" hidden="1">'1ви начин'!$D$7:$D$10</definedName>
    <definedName name="solver_lhs2" localSheetId="5" hidden="1">'2ри начин'!$C$15</definedName>
    <definedName name="solver_lhs3" localSheetId="5" hidden="1">'2ри начин'!$D$7:$D$10</definedName>
    <definedName name="solver_mip" localSheetId="2" hidden="1">2147483647</definedName>
    <definedName name="solver_mip" localSheetId="5" hidden="1">2147483647</definedName>
    <definedName name="solver_mni" localSheetId="2" hidden="1">30</definedName>
    <definedName name="solver_mni" localSheetId="5" hidden="1">30</definedName>
    <definedName name="solver_mrt" localSheetId="2" hidden="1">0.075</definedName>
    <definedName name="solver_mrt" localSheetId="5" hidden="1">0.075</definedName>
    <definedName name="solver_msl" localSheetId="2" hidden="1">2</definedName>
    <definedName name="solver_msl" localSheetId="5" hidden="1">2</definedName>
    <definedName name="solver_neg" localSheetId="2" hidden="1">1</definedName>
    <definedName name="solver_neg" localSheetId="5" hidden="1">1</definedName>
    <definedName name="solver_nod" localSheetId="2" hidden="1">2147483647</definedName>
    <definedName name="solver_nod" localSheetId="5" hidden="1">2147483647</definedName>
    <definedName name="solver_num" localSheetId="2" hidden="1">2</definedName>
    <definedName name="solver_num" localSheetId="5" hidden="1">3</definedName>
    <definedName name="solver_nwt" localSheetId="2" hidden="1">1</definedName>
    <definedName name="solver_nwt" localSheetId="5" hidden="1">1</definedName>
    <definedName name="solver_opt" localSheetId="2" hidden="1">'1ви начин'!$D$17</definedName>
    <definedName name="solver_opt" localSheetId="5" hidden="1">'2ри начин'!$D$15</definedName>
    <definedName name="solver_pre" localSheetId="2" hidden="1">0.000001</definedName>
    <definedName name="solver_pre" localSheetId="5" hidden="1">0.000001</definedName>
    <definedName name="solver_rbv" localSheetId="2" hidden="1">1</definedName>
    <definedName name="solver_rbv" localSheetId="5" hidden="1">1</definedName>
    <definedName name="solver_rel1" localSheetId="2" hidden="1">1</definedName>
    <definedName name="solver_rel1" localSheetId="5" hidden="1">1</definedName>
    <definedName name="solver_rel2" localSheetId="2" hidden="1">3</definedName>
    <definedName name="solver_rel2" localSheetId="5" hidden="1">1</definedName>
    <definedName name="solver_rel3" localSheetId="5" hidden="1">3</definedName>
    <definedName name="solver_rhs1" localSheetId="2" hidden="1">'1ви начин'!$E$11:$E$12</definedName>
    <definedName name="solver_rhs1" localSheetId="5" hidden="1">50</definedName>
    <definedName name="solver_rhs2" localSheetId="2" hidden="1">'1ви начин'!$E$7:$E$10</definedName>
    <definedName name="solver_rhs2" localSheetId="5" hidden="1">85</definedName>
    <definedName name="solver_rhs3" localSheetId="5" hidden="1">'2ри начин'!$E$7:$E$10</definedName>
    <definedName name="solver_rlx" localSheetId="2" hidden="1">2</definedName>
    <definedName name="solver_rlx" localSheetId="5" hidden="1">2</definedName>
    <definedName name="solver_rsd" localSheetId="2" hidden="1">0</definedName>
    <definedName name="solver_rsd" localSheetId="5" hidden="1">0</definedName>
    <definedName name="solver_scl" localSheetId="2" hidden="1">1</definedName>
    <definedName name="solver_scl" localSheetId="5" hidden="1">1</definedName>
    <definedName name="solver_sho" localSheetId="2" hidden="1">2</definedName>
    <definedName name="solver_sho" localSheetId="5" hidden="1">2</definedName>
    <definedName name="solver_ssz" localSheetId="2" hidden="1">100</definedName>
    <definedName name="solver_ssz" localSheetId="5" hidden="1">100</definedName>
    <definedName name="solver_tim" localSheetId="2" hidden="1">2147483647</definedName>
    <definedName name="solver_tim" localSheetId="5" hidden="1">2147483647</definedName>
    <definedName name="solver_tol" localSheetId="2" hidden="1">0.01</definedName>
    <definedName name="solver_tol" localSheetId="5" hidden="1">0.01</definedName>
    <definedName name="solver_typ" localSheetId="2" hidden="1">2</definedName>
    <definedName name="solver_typ" localSheetId="5" hidden="1">2</definedName>
    <definedName name="solver_val" localSheetId="2" hidden="1">0</definedName>
    <definedName name="solver_val" localSheetId="5" hidden="1">0</definedName>
    <definedName name="solver_ver" localSheetId="2" hidden="1">3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4" l="1"/>
  <c r="D9" i="4"/>
  <c r="D8" i="4"/>
  <c r="D7" i="4"/>
  <c r="D6" i="4"/>
  <c r="D15" i="4" s="1"/>
  <c r="D7" i="1"/>
  <c r="D8" i="1"/>
  <c r="D9" i="1"/>
  <c r="D10" i="1"/>
  <c r="D11" i="1"/>
  <c r="D12" i="1"/>
  <c r="D6" i="1"/>
  <c r="D17" i="1" s="1"/>
</calcChain>
</file>

<file path=xl/sharedStrings.xml><?xml version="1.0" encoding="utf-8"?>
<sst xmlns="http://schemas.openxmlformats.org/spreadsheetml/2006/main" count="242" uniqueCount="85">
  <si>
    <t>Модел на задачата за дажба</t>
  </si>
  <si>
    <t>Начални данни</t>
  </si>
  <si>
    <t>Сено</t>
  </si>
  <si>
    <t>Силаж</t>
  </si>
  <si>
    <t>Целева функция</t>
  </si>
  <si>
    <t>Огр. КЕ</t>
  </si>
  <si>
    <t>Огр. Белтъчини</t>
  </si>
  <si>
    <t>Огр. Калций</t>
  </si>
  <si>
    <t>Огр. Фосфор</t>
  </si>
  <si>
    <t>Крайни резултати</t>
  </si>
  <si>
    <t>Решение:</t>
  </si>
  <si>
    <t>x1</t>
  </si>
  <si>
    <t>x2</t>
  </si>
  <si>
    <t>Опт. ст-ст</t>
  </si>
  <si>
    <t>Десни страни</t>
  </si>
  <si>
    <t>Огр. Сено</t>
  </si>
  <si>
    <t>Огр. Силаж</t>
  </si>
  <si>
    <r>
      <t xml:space="preserve">Забележка: Този начин е </t>
    </r>
    <r>
      <rPr>
        <b/>
        <sz val="11"/>
        <color theme="1"/>
        <rFont val="Calibri"/>
        <family val="2"/>
        <scheme val="minor"/>
      </rPr>
      <t>подходящ</t>
    </r>
    <r>
      <rPr>
        <sz val="11"/>
        <color theme="1"/>
        <rFont val="Calibri"/>
        <family val="2"/>
        <scheme val="minor"/>
      </rPr>
      <t xml:space="preserve"> за работа: Всички начални данни са видими в самата екселска таблица.</t>
    </r>
  </si>
  <si>
    <t>Microsoft Excel 16.0 Answer Report</t>
  </si>
  <si>
    <t>Worksheet: [Diet11sol.xlsx]Sheet1</t>
  </si>
  <si>
    <t>Report Created: 29.1.2026 г. 17:04:37</t>
  </si>
  <si>
    <t>Result: Solver found a solution.  All Constraints and optimality conditions are satisfied.</t>
  </si>
  <si>
    <t>Solver Engine</t>
  </si>
  <si>
    <t>Engine: Simplex LP</t>
  </si>
  <si>
    <t>Solution Time: 0 Seconds.</t>
  </si>
  <si>
    <t>Iterations: 6 Subproblems: 0</t>
  </si>
  <si>
    <t>Solver Options</t>
  </si>
  <si>
    <t>Max Time Unlimited,  Iterations Unlimited, Precision 0,000001, Use Automatic Scaling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</si>
  <si>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</si>
  <si>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</si>
  <si>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</si>
  <si>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</si>
  <si>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</si>
  <si>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</si>
  <si>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</si>
  <si>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</si>
  <si>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</si>
  <si>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</si>
  <si>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</si>
  <si>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</si>
  <si>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</si>
  <si>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$D$17</t>
  </si>
  <si>
    <t>Решение: Опт. ст-ст</t>
  </si>
  <si>
    <t>$B$17</t>
  </si>
  <si>
    <t>Решение: x1</t>
  </si>
  <si>
    <t>Contin</t>
  </si>
  <si>
    <t>$C$17</t>
  </si>
  <si>
    <t>Решение: x2</t>
  </si>
  <si>
    <t>$D$11</t>
  </si>
  <si>
    <t>$D$11&lt;=$E$11</t>
  </si>
  <si>
    <t>Not Binding</t>
  </si>
  <si>
    <t>$D$12</t>
  </si>
  <si>
    <t>$D$12&lt;=$E$12</t>
  </si>
  <si>
    <t>$D$7</t>
  </si>
  <si>
    <t>$D$7&gt;=$E$7</t>
  </si>
  <si>
    <t>$D$8</t>
  </si>
  <si>
    <t>$D$8&gt;=$E$8</t>
  </si>
  <si>
    <t>$D$9</t>
  </si>
  <si>
    <t>$D$9&gt;=$E$9</t>
  </si>
  <si>
    <t>Binding</t>
  </si>
  <si>
    <t>$D$10</t>
  </si>
  <si>
    <t>$D$10&gt;=$E$10</t>
  </si>
  <si>
    <t>Microsoft Excel 16.0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</si>
  <si>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</si>
  <si>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</si>
  <si>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</si>
  <si>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</si>
  <si>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</si>
  <si>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</si>
  <si>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</si>
  <si>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</si>
  <si>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</si>
  <si>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</si>
  <si>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</si>
  <si>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</si>
  <si>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</si>
  <si>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r>
      <t xml:space="preserve">Забележка: Този начин е </t>
    </r>
    <r>
      <rPr>
        <b/>
        <sz val="11"/>
        <color theme="1"/>
        <rFont val="Calibri"/>
        <family val="2"/>
        <scheme val="minor"/>
      </rPr>
      <t>неподходящ</t>
    </r>
    <r>
      <rPr>
        <sz val="11"/>
        <color theme="1"/>
        <rFont val="Calibri"/>
        <family val="2"/>
        <scheme val="minor"/>
      </rPr>
      <t xml:space="preserve"> за работа: Ограниченията за количествата на сеното и силажа са скрити в Solver.</t>
    </r>
  </si>
  <si>
    <t>Worksheet: [Diet11sol.xlsx]2ри начин</t>
  </si>
  <si>
    <t>Report Created: 29.1.2026 г. 17:07:38</t>
  </si>
  <si>
    <t>Iterations: 4 Subproblems: 0</t>
  </si>
  <si>
    <t>$D$15</t>
  </si>
  <si>
    <t>$B$15</t>
  </si>
  <si>
    <t>$C$15</t>
  </si>
  <si>
    <t>$B$15&lt;=50</t>
  </si>
  <si>
    <t>$C$15&lt;=85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</si>
</sst>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3">
    <xf numFmtId="0" fontId="0" fillId="0" borderId="0"/>
    <xf numFmtId="0" fontId="1" fillId="0" borderId="0"/>
    <xf numFmtId="0" fontId="4" fillId="2" borderId="0" applyNumberFormat="0" applyBorder="0" applyAlignment="0" applyProtection="0"/>
  </cellStyleXfs>
  <cellXfs count="16">
    <xf numFmtId="0" fontId="0" fillId="0" borderId="0" xfId="0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3" fillId="0" borderId="1" xfId="0" applyFont="1" applyBorder="1"/>
    <xf numFmtId="0" fontId="2" fillId="0" borderId="0" xfId="0" applyFont="1" applyAlignment="1">
      <alignment horizontal="center"/>
    </xf>
    <xf numFmtId="0" fontId="0" fillId="3" borderId="0" xfId="0" applyFill="1"/>
    <xf numFmtId="0" fontId="0" fillId="0" borderId="0" xfId="0" applyAlignment="1">
      <alignment wrapText="1"/>
    </xf>
    <xf numFmtId="0" fontId="2" fillId="0" borderId="0" xfId="0" applyFont="1"/>
    <xf numFmtId="0" fontId="0" fillId="0" borderId="5" xfId="0" applyFill="1" applyBorder="1" applyAlignment="1"/>
    <xf numFmtId="0" fontId="5" fillId="0" borderId="4" xfId="0" applyFont="1" applyFill="1" applyBorder="1" applyAlignment="1">
      <alignment horizontal="center"/>
    </xf>
    <xf numFmtId="0" fontId="0" fillId="0" borderId="6" xfId="0" applyFill="1" applyBorder="1" applyAlignment="1"/>
    <xf numFmtId="0" fontId="0" fillId="0" borderId="5" xfId="0" applyNumberFormat="1" applyFill="1" applyBorder="1" applyAlignment="1"/>
    <xf numFmtId="0" fontId="0" fillId="0" borderId="6" xfId="0" applyNumberFormat="1" applyFill="1" applyBorder="1" applyAlignment="1"/>
    <xf numFmtId="0" fontId="5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</cellXfs>
  <cellStyles count="3">
    <cellStyle name="Neutral 2" xfId="2" xr:uid="{0B5BB495-A525-4593-BA26-7E0720D944C7}"/>
    <cellStyle name="Normal" xfId="0" builtinId="0"/>
    <cellStyle name="Normal 2" xfId="1" xr:uid="{930213AD-F1D0-4E1A-AD17-839138088A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EB768-2C39-4254-90CD-8B87A1E678AE}">
  <dimension ref="A1:G32"/>
  <sheetViews>
    <sheetView showGridLines="0" workbookViewId="0"/>
  </sheetViews>
  <sheetFormatPr defaultRowHeight="15" x14ac:dyDescent="0.25"/>
  <cols>
    <col min="1" max="1" width="2.28515625" customWidth="1"/>
    <col min="2" max="2" width="6.28515625" bestFit="1" customWidth="1"/>
    <col min="3" max="3" width="19.28515625" bestFit="1" customWidth="1"/>
    <col min="4" max="4" width="13.7109375" bestFit="1" customWidth="1"/>
    <col min="5" max="5" width="13.42578125" bestFit="1" customWidth="1"/>
    <col min="6" max="6" width="11.42578125" bestFit="1" customWidth="1"/>
    <col min="7" max="7" width="12" bestFit="1" customWidth="1"/>
  </cols>
  <sheetData>
    <row r="1" spans="1:5" x14ac:dyDescent="0.25">
      <c r="A1" s="8" t="s">
        <v>18</v>
      </c>
    </row>
    <row r="2" spans="1:5" x14ac:dyDescent="0.25">
      <c r="A2" s="8" t="s">
        <v>19</v>
      </c>
    </row>
    <row r="3" spans="1:5" x14ac:dyDescent="0.25">
      <c r="A3" s="8" t="s">
        <v>20</v>
      </c>
    </row>
    <row r="4" spans="1:5" x14ac:dyDescent="0.25">
      <c r="A4" s="8" t="s">
        <v>21</v>
      </c>
    </row>
    <row r="5" spans="1:5" x14ac:dyDescent="0.25">
      <c r="A5" s="8" t="s">
        <v>22</v>
      </c>
    </row>
    <row r="6" spans="1:5" x14ac:dyDescent="0.25">
      <c r="A6" s="8"/>
      <c r="B6" t="s">
        <v>23</v>
      </c>
    </row>
    <row r="7" spans="1:5" x14ac:dyDescent="0.25">
      <c r="A7" s="8"/>
      <c r="B7" t="s">
        <v>24</v>
      </c>
    </row>
    <row r="8" spans="1:5" x14ac:dyDescent="0.25">
      <c r="A8" s="8"/>
      <c r="B8" t="s">
        <v>25</v>
      </c>
    </row>
    <row r="9" spans="1:5" x14ac:dyDescent="0.25">
      <c r="A9" s="8" t="s">
        <v>26</v>
      </c>
    </row>
    <row r="10" spans="1:5" x14ac:dyDescent="0.25">
      <c r="B10" t="s">
        <v>27</v>
      </c>
    </row>
    <row r="11" spans="1:5" x14ac:dyDescent="0.25">
      <c r="B11" t="s">
        <v>28</v>
      </c>
    </row>
    <row r="14" spans="1:5" ht="15.75" thickBot="1" x14ac:dyDescent="0.3">
      <c r="A14" t="s">
        <v>29</v>
      </c>
    </row>
    <row r="15" spans="1:5" ht="15.75" thickBot="1" x14ac:dyDescent="0.3">
      <c r="B15" s="10" t="s">
        <v>30</v>
      </c>
      <c r="C15" s="10" t="s">
        <v>31</v>
      </c>
      <c r="D15" s="10" t="s">
        <v>32</v>
      </c>
      <c r="E15" s="10" t="s">
        <v>33</v>
      </c>
    </row>
    <row r="16" spans="1:5" ht="15.75" thickBot="1" x14ac:dyDescent="0.3">
      <c r="B16" s="9" t="s">
        <v>41</v>
      </c>
      <c r="C16" s="9" t="s">
        <v>42</v>
      </c>
      <c r="D16" s="12">
        <v>0</v>
      </c>
      <c r="E16" s="12">
        <v>10.666666666666668</v>
      </c>
    </row>
    <row r="19" spans="1:7" ht="15.75" thickBot="1" x14ac:dyDescent="0.3">
      <c r="A19" t="s">
        <v>34</v>
      </c>
    </row>
    <row r="20" spans="1:7" ht="15.75" thickBot="1" x14ac:dyDescent="0.3">
      <c r="B20" s="10" t="s">
        <v>30</v>
      </c>
      <c r="C20" s="10" t="s">
        <v>31</v>
      </c>
      <c r="D20" s="10" t="s">
        <v>32</v>
      </c>
      <c r="E20" s="10" t="s">
        <v>33</v>
      </c>
      <c r="F20" s="10" t="s">
        <v>35</v>
      </c>
    </row>
    <row r="21" spans="1:7" x14ac:dyDescent="0.25">
      <c r="B21" s="11" t="s">
        <v>43</v>
      </c>
      <c r="C21" s="11" t="s">
        <v>44</v>
      </c>
      <c r="D21" s="13">
        <v>0</v>
      </c>
      <c r="E21" s="13">
        <v>26.666666666666668</v>
      </c>
      <c r="F21" s="11" t="s">
        <v>45</v>
      </c>
    </row>
    <row r="22" spans="1:7" ht="15.75" thickBot="1" x14ac:dyDescent="0.3">
      <c r="B22" s="9" t="s">
        <v>46</v>
      </c>
      <c r="C22" s="9" t="s">
        <v>47</v>
      </c>
      <c r="D22" s="12">
        <v>0</v>
      </c>
      <c r="E22" s="12">
        <v>26.666666666666664</v>
      </c>
      <c r="F22" s="9" t="s">
        <v>45</v>
      </c>
    </row>
    <row r="25" spans="1:7" ht="15.75" thickBot="1" x14ac:dyDescent="0.3">
      <c r="A25" t="s">
        <v>36</v>
      </c>
    </row>
    <row r="26" spans="1:7" ht="15.75" thickBot="1" x14ac:dyDescent="0.3">
      <c r="B26" s="10" t="s">
        <v>30</v>
      </c>
      <c r="C26" s="10" t="s">
        <v>31</v>
      </c>
      <c r="D26" s="10" t="s">
        <v>37</v>
      </c>
      <c r="E26" s="10" t="s">
        <v>38</v>
      </c>
      <c r="F26" s="10" t="s">
        <v>39</v>
      </c>
      <c r="G26" s="10" t="s">
        <v>40</v>
      </c>
    </row>
    <row r="27" spans="1:7" x14ac:dyDescent="0.25">
      <c r="B27" s="11" t="s">
        <v>48</v>
      </c>
      <c r="C27" s="11" t="s">
        <v>15</v>
      </c>
      <c r="D27" s="13">
        <v>26.666666666666668</v>
      </c>
      <c r="E27" s="11" t="s">
        <v>49</v>
      </c>
      <c r="F27" s="11" t="s">
        <v>50</v>
      </c>
      <c r="G27" s="11">
        <v>23.333333333333332</v>
      </c>
    </row>
    <row r="28" spans="1:7" x14ac:dyDescent="0.25">
      <c r="B28" s="11" t="s">
        <v>51</v>
      </c>
      <c r="C28" s="11" t="s">
        <v>16</v>
      </c>
      <c r="D28" s="13">
        <v>26.666666666666664</v>
      </c>
      <c r="E28" s="11" t="s">
        <v>52</v>
      </c>
      <c r="F28" s="11" t="s">
        <v>50</v>
      </c>
      <c r="G28" s="11">
        <v>58.333333333333336</v>
      </c>
    </row>
    <row r="29" spans="1:7" x14ac:dyDescent="0.25">
      <c r="B29" s="11" t="s">
        <v>53</v>
      </c>
      <c r="C29" s="11" t="s">
        <v>5</v>
      </c>
      <c r="D29" s="13">
        <v>480</v>
      </c>
      <c r="E29" s="11" t="s">
        <v>54</v>
      </c>
      <c r="F29" s="11" t="s">
        <v>50</v>
      </c>
      <c r="G29" s="13">
        <v>450</v>
      </c>
    </row>
    <row r="30" spans="1:7" x14ac:dyDescent="0.25">
      <c r="B30" s="11" t="s">
        <v>55</v>
      </c>
      <c r="C30" s="11" t="s">
        <v>6</v>
      </c>
      <c r="D30" s="13">
        <v>1333.3333333333335</v>
      </c>
      <c r="E30" s="11" t="s">
        <v>56</v>
      </c>
      <c r="F30" s="11" t="s">
        <v>50</v>
      </c>
      <c r="G30" s="13">
        <v>333.33333333333348</v>
      </c>
    </row>
    <row r="31" spans="1:7" x14ac:dyDescent="0.25">
      <c r="B31" s="11" t="s">
        <v>57</v>
      </c>
      <c r="C31" s="11" t="s">
        <v>7</v>
      </c>
      <c r="D31" s="13">
        <v>100</v>
      </c>
      <c r="E31" s="11" t="s">
        <v>58</v>
      </c>
      <c r="F31" s="11" t="s">
        <v>59</v>
      </c>
      <c r="G31" s="13">
        <v>0</v>
      </c>
    </row>
    <row r="32" spans="1:7" ht="15.75" thickBot="1" x14ac:dyDescent="0.3">
      <c r="B32" s="9" t="s">
        <v>60</v>
      </c>
      <c r="C32" s="9" t="s">
        <v>8</v>
      </c>
      <c r="D32" s="12">
        <v>80</v>
      </c>
      <c r="E32" s="9" t="s">
        <v>61</v>
      </c>
      <c r="F32" s="9" t="s">
        <v>59</v>
      </c>
      <c r="G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4C5E8-320F-4F48-A9A9-5F4DA63B1D71}">
  <dimension ref="A1:H20"/>
  <sheetViews>
    <sheetView showGridLines="0" zoomScale="160" zoomScaleNormal="160" workbookViewId="0">
      <selection activeCell="K19" sqref="K19"/>
    </sheetView>
  </sheetViews>
  <sheetFormatPr defaultRowHeight="15" x14ac:dyDescent="0.25"/>
  <cols>
    <col min="1" max="1" width="2.28515625" customWidth="1"/>
    <col min="2" max="2" width="6.28515625" bestFit="1" customWidth="1"/>
    <col min="3" max="3" width="15.28515625" bestFit="1" customWidth="1"/>
    <col min="4" max="5" width="12" bestFit="1" customWidth="1"/>
    <col min="6" max="6" width="10.85546875" bestFit="1" customWidth="1"/>
    <col min="7" max="8" width="12" bestFit="1" customWidth="1"/>
  </cols>
  <sheetData>
    <row r="1" spans="1:8" x14ac:dyDescent="0.25">
      <c r="A1" s="8" t="s">
        <v>62</v>
      </c>
    </row>
    <row r="2" spans="1:8" x14ac:dyDescent="0.25">
      <c r="A2" s="8" t="s">
        <v>19</v>
      </c>
    </row>
    <row r="3" spans="1:8" x14ac:dyDescent="0.25">
      <c r="A3" s="8" t="s">
        <v>20</v>
      </c>
    </row>
    <row r="6" spans="1:8" ht="15.75" thickBot="1" x14ac:dyDescent="0.3">
      <c r="A6" t="s">
        <v>34</v>
      </c>
    </row>
    <row r="7" spans="1:8" x14ac:dyDescent="0.25">
      <c r="B7" s="14"/>
      <c r="C7" s="14"/>
      <c r="D7" s="14" t="s">
        <v>63</v>
      </c>
      <c r="E7" s="14" t="s">
        <v>65</v>
      </c>
      <c r="F7" s="14" t="s">
        <v>67</v>
      </c>
      <c r="G7" s="14" t="s">
        <v>69</v>
      </c>
      <c r="H7" s="14" t="s">
        <v>69</v>
      </c>
    </row>
    <row r="8" spans="1:8" ht="15.75" thickBot="1" x14ac:dyDescent="0.3">
      <c r="B8" s="15" t="s">
        <v>30</v>
      </c>
      <c r="C8" s="15" t="s">
        <v>31</v>
      </c>
      <c r="D8" s="15" t="s">
        <v>64</v>
      </c>
      <c r="E8" s="15" t="s">
        <v>66</v>
      </c>
      <c r="F8" s="15" t="s">
        <v>68</v>
      </c>
      <c r="G8" s="15" t="s">
        <v>70</v>
      </c>
      <c r="H8" s="15" t="s">
        <v>71</v>
      </c>
    </row>
    <row r="9" spans="1:8" x14ac:dyDescent="0.25">
      <c r="B9" s="11" t="s">
        <v>43</v>
      </c>
      <c r="C9" s="11" t="s">
        <v>44</v>
      </c>
      <c r="D9" s="11">
        <v>26.666666666666668</v>
      </c>
      <c r="E9" s="11">
        <v>0</v>
      </c>
      <c r="F9" s="11">
        <v>0.24</v>
      </c>
      <c r="G9" s="11">
        <v>8.0000000000000085E-2</v>
      </c>
      <c r="H9" s="11">
        <v>0.15999999999999998</v>
      </c>
    </row>
    <row r="10" spans="1:8" ht="15.75" thickBot="1" x14ac:dyDescent="0.3">
      <c r="B10" s="9" t="s">
        <v>46</v>
      </c>
      <c r="C10" s="9" t="s">
        <v>47</v>
      </c>
      <c r="D10" s="9">
        <v>26.666666666666664</v>
      </c>
      <c r="E10" s="9">
        <v>0</v>
      </c>
      <c r="F10" s="9">
        <v>0.16000000000000003</v>
      </c>
      <c r="G10" s="9">
        <v>0.31999999999999995</v>
      </c>
      <c r="H10" s="9">
        <v>4.0000000000000042E-2</v>
      </c>
    </row>
    <row r="12" spans="1:8" ht="15.75" thickBot="1" x14ac:dyDescent="0.3">
      <c r="A12" t="s">
        <v>36</v>
      </c>
    </row>
    <row r="13" spans="1:8" x14ac:dyDescent="0.25">
      <c r="B13" s="14"/>
      <c r="C13" s="14"/>
      <c r="D13" s="14" t="s">
        <v>63</v>
      </c>
      <c r="E13" s="14" t="s">
        <v>72</v>
      </c>
      <c r="F13" s="14" t="s">
        <v>74</v>
      </c>
      <c r="G13" s="14" t="s">
        <v>69</v>
      </c>
      <c r="H13" s="14" t="s">
        <v>69</v>
      </c>
    </row>
    <row r="14" spans="1:8" ht="15.75" thickBot="1" x14ac:dyDescent="0.3">
      <c r="B14" s="15" t="s">
        <v>30</v>
      </c>
      <c r="C14" s="15" t="s">
        <v>31</v>
      </c>
      <c r="D14" s="15" t="s">
        <v>64</v>
      </c>
      <c r="E14" s="15" t="s">
        <v>73</v>
      </c>
      <c r="F14" s="15" t="s">
        <v>75</v>
      </c>
      <c r="G14" s="15" t="s">
        <v>70</v>
      </c>
      <c r="H14" s="15" t="s">
        <v>71</v>
      </c>
    </row>
    <row r="15" spans="1:8" x14ac:dyDescent="0.25">
      <c r="B15" s="11" t="s">
        <v>48</v>
      </c>
      <c r="C15" s="11" t="s">
        <v>15</v>
      </c>
      <c r="D15" s="11">
        <v>26.666666666666668</v>
      </c>
      <c r="E15" s="11">
        <v>0</v>
      </c>
      <c r="F15" s="11">
        <v>50</v>
      </c>
      <c r="G15" s="11">
        <v>1E+30</v>
      </c>
      <c r="H15" s="11">
        <v>23.333333333333332</v>
      </c>
    </row>
    <row r="16" spans="1:8" x14ac:dyDescent="0.25">
      <c r="B16" s="11" t="s">
        <v>51</v>
      </c>
      <c r="C16" s="11" t="s">
        <v>16</v>
      </c>
      <c r="D16" s="11">
        <v>26.666666666666664</v>
      </c>
      <c r="E16" s="11">
        <v>0</v>
      </c>
      <c r="F16" s="11">
        <v>85</v>
      </c>
      <c r="G16" s="11">
        <v>1E+30</v>
      </c>
      <c r="H16" s="11">
        <v>58.333333333333336</v>
      </c>
    </row>
    <row r="17" spans="2:8" x14ac:dyDescent="0.25">
      <c r="B17" s="11" t="s">
        <v>53</v>
      </c>
      <c r="C17" s="11" t="s">
        <v>5</v>
      </c>
      <c r="D17" s="11">
        <v>480</v>
      </c>
      <c r="E17" s="11">
        <v>0</v>
      </c>
      <c r="F17" s="11">
        <v>30</v>
      </c>
      <c r="G17" s="11">
        <v>450</v>
      </c>
      <c r="H17" s="11">
        <v>1E+30</v>
      </c>
    </row>
    <row r="18" spans="2:8" x14ac:dyDescent="0.25">
      <c r="B18" s="11" t="s">
        <v>55</v>
      </c>
      <c r="C18" s="11" t="s">
        <v>6</v>
      </c>
      <c r="D18" s="11">
        <v>1333.3333333333335</v>
      </c>
      <c r="E18" s="11">
        <v>0</v>
      </c>
      <c r="F18" s="11">
        <v>1000</v>
      </c>
      <c r="G18" s="11">
        <v>333.33333333333337</v>
      </c>
      <c r="H18" s="11">
        <v>1E+30</v>
      </c>
    </row>
    <row r="19" spans="2:8" x14ac:dyDescent="0.25">
      <c r="B19" s="11" t="s">
        <v>57</v>
      </c>
      <c r="C19" s="11" t="s">
        <v>7</v>
      </c>
      <c r="D19" s="11">
        <v>100</v>
      </c>
      <c r="E19" s="11">
        <v>2.1333333333333357E-2</v>
      </c>
      <c r="F19" s="11">
        <v>100</v>
      </c>
      <c r="G19" s="11">
        <v>62.5</v>
      </c>
      <c r="H19" s="11">
        <v>49.999999999999993</v>
      </c>
    </row>
    <row r="20" spans="2:8" ht="15.75" thickBot="1" x14ac:dyDescent="0.3">
      <c r="B20" s="9" t="s">
        <v>60</v>
      </c>
      <c r="C20" s="9" t="s">
        <v>8</v>
      </c>
      <c r="D20" s="9">
        <v>80</v>
      </c>
      <c r="E20" s="9">
        <v>0.10666666666666665</v>
      </c>
      <c r="F20" s="9">
        <v>80</v>
      </c>
      <c r="G20" s="9">
        <v>35</v>
      </c>
      <c r="H20" s="9">
        <v>14.285714285714288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zoomScale="175" zoomScaleNormal="175" workbookViewId="0">
      <selection activeCell="D22" sqref="D22"/>
    </sheetView>
  </sheetViews>
  <sheetFormatPr defaultRowHeight="15" x14ac:dyDescent="0.25"/>
  <cols>
    <col min="1" max="1" width="17.5703125" customWidth="1"/>
    <col min="5" max="5" width="13.42578125" customWidth="1"/>
  </cols>
  <sheetData>
    <row r="1" spans="1:5" x14ac:dyDescent="0.25">
      <c r="A1" s="5" t="s">
        <v>0</v>
      </c>
      <c r="B1" s="5"/>
      <c r="C1" s="5"/>
      <c r="D1" s="5"/>
      <c r="E1" s="5"/>
    </row>
    <row r="3" spans="1:5" x14ac:dyDescent="0.25">
      <c r="A3" s="6" t="s">
        <v>1</v>
      </c>
      <c r="B3" s="6"/>
      <c r="C3" s="6"/>
      <c r="D3" s="6"/>
      <c r="E3" s="6"/>
    </row>
    <row r="5" spans="1:5" x14ac:dyDescent="0.25">
      <c r="B5" t="s">
        <v>2</v>
      </c>
      <c r="C5" t="s">
        <v>3</v>
      </c>
      <c r="E5" t="s">
        <v>14</v>
      </c>
    </row>
    <row r="6" spans="1:5" x14ac:dyDescent="0.25">
      <c r="A6" t="s">
        <v>4</v>
      </c>
      <c r="B6" s="1">
        <v>0.24</v>
      </c>
      <c r="C6" s="1">
        <v>0.16</v>
      </c>
      <c r="D6">
        <f>SUMPRODUCT(B6:C6,B$17:C$17)</f>
        <v>10.666666666666668</v>
      </c>
    </row>
    <row r="7" spans="1:5" x14ac:dyDescent="0.25">
      <c r="A7" t="s">
        <v>5</v>
      </c>
      <c r="B7" s="2">
        <v>10</v>
      </c>
      <c r="C7" s="2">
        <v>8</v>
      </c>
      <c r="D7">
        <f t="shared" ref="D7:D12" si="0">SUMPRODUCT(B7:C7,B$17:C$17)</f>
        <v>480</v>
      </c>
      <c r="E7" s="3">
        <v>30</v>
      </c>
    </row>
    <row r="8" spans="1:5" x14ac:dyDescent="0.25">
      <c r="A8" t="s">
        <v>6</v>
      </c>
      <c r="B8" s="2">
        <v>40</v>
      </c>
      <c r="C8" s="2">
        <v>10</v>
      </c>
      <c r="D8">
        <f t="shared" si="0"/>
        <v>1333.3333333333335</v>
      </c>
      <c r="E8" s="3">
        <v>1000</v>
      </c>
    </row>
    <row r="9" spans="1:5" x14ac:dyDescent="0.25">
      <c r="A9" t="s">
        <v>7</v>
      </c>
      <c r="B9" s="2">
        <v>1.25</v>
      </c>
      <c r="C9" s="2">
        <v>2.5</v>
      </c>
      <c r="D9">
        <f t="shared" si="0"/>
        <v>100</v>
      </c>
      <c r="E9" s="3">
        <v>100</v>
      </c>
    </row>
    <row r="10" spans="1:5" x14ac:dyDescent="0.25">
      <c r="A10" t="s">
        <v>8</v>
      </c>
      <c r="B10" s="2">
        <v>2</v>
      </c>
      <c r="C10" s="2">
        <v>1</v>
      </c>
      <c r="D10">
        <f t="shared" si="0"/>
        <v>80</v>
      </c>
      <c r="E10" s="3">
        <v>80</v>
      </c>
    </row>
    <row r="11" spans="1:5" x14ac:dyDescent="0.25">
      <c r="A11" t="s">
        <v>15</v>
      </c>
      <c r="B11" s="2">
        <v>1</v>
      </c>
      <c r="C11" s="2">
        <v>0</v>
      </c>
      <c r="D11">
        <f t="shared" si="0"/>
        <v>26.666666666666668</v>
      </c>
      <c r="E11" s="3">
        <v>50</v>
      </c>
    </row>
    <row r="12" spans="1:5" x14ac:dyDescent="0.25">
      <c r="A12" t="s">
        <v>16</v>
      </c>
      <c r="B12" s="2">
        <v>0</v>
      </c>
      <c r="C12" s="2">
        <v>1</v>
      </c>
      <c r="D12">
        <f t="shared" si="0"/>
        <v>26.666666666666664</v>
      </c>
      <c r="E12" s="3">
        <v>85</v>
      </c>
    </row>
    <row r="14" spans="1:5" x14ac:dyDescent="0.25">
      <c r="A14" s="6" t="s">
        <v>9</v>
      </c>
      <c r="B14" s="6"/>
      <c r="C14" s="6"/>
      <c r="D14" s="6"/>
      <c r="E14" s="6"/>
    </row>
    <row r="16" spans="1:5" x14ac:dyDescent="0.25">
      <c r="B16" t="s">
        <v>11</v>
      </c>
      <c r="C16" t="s">
        <v>12</v>
      </c>
      <c r="D16" t="s">
        <v>13</v>
      </c>
    </row>
    <row r="17" spans="1:5" x14ac:dyDescent="0.25">
      <c r="A17" t="s">
        <v>10</v>
      </c>
      <c r="B17" s="4">
        <v>26.666666666666668</v>
      </c>
      <c r="C17" s="4">
        <v>26.666666666666664</v>
      </c>
      <c r="D17" s="4">
        <f>D6</f>
        <v>10.666666666666668</v>
      </c>
    </row>
    <row r="19" spans="1:5" ht="27.75" customHeight="1" x14ac:dyDescent="0.25">
      <c r="A19" s="7" t="s">
        <v>17</v>
      </c>
      <c r="B19" s="7"/>
      <c r="C19" s="7"/>
      <c r="D19" s="7"/>
      <c r="E19" s="7"/>
    </row>
  </sheetData>
  <mergeCells count="4">
    <mergeCell ref="A1:E1"/>
    <mergeCell ref="A3:E3"/>
    <mergeCell ref="A14:E14"/>
    <mergeCell ref="A19:E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EF872-BA6C-4BDB-97AE-6E3B4724B623}">
  <dimension ref="A1:G32"/>
  <sheetViews>
    <sheetView showGridLines="0" workbookViewId="0"/>
  </sheetViews>
  <sheetFormatPr defaultRowHeight="15" x14ac:dyDescent="0.25"/>
  <cols>
    <col min="1" max="1" width="2.28515625" customWidth="1"/>
    <col min="2" max="2" width="6.28515625" bestFit="1" customWidth="1"/>
    <col min="3" max="3" width="19.28515625" bestFit="1" customWidth="1"/>
    <col min="4" max="4" width="13.7109375" bestFit="1" customWidth="1"/>
    <col min="5" max="5" width="13.42578125" bestFit="1" customWidth="1"/>
    <col min="6" max="6" width="11.42578125" bestFit="1" customWidth="1"/>
    <col min="7" max="7" width="12" bestFit="1" customWidth="1"/>
  </cols>
  <sheetData>
    <row r="1" spans="1:5" x14ac:dyDescent="0.25">
      <c r="A1" s="8" t="s">
        <v>18</v>
      </c>
    </row>
    <row r="2" spans="1:5" x14ac:dyDescent="0.25">
      <c r="A2" s="8" t="s">
        <v>77</v>
      </c>
    </row>
    <row r="3" spans="1:5" x14ac:dyDescent="0.25">
      <c r="A3" s="8" t="s">
        <v>78</v>
      </c>
    </row>
    <row r="4" spans="1:5" x14ac:dyDescent="0.25">
      <c r="A4" s="8" t="s">
        <v>21</v>
      </c>
    </row>
    <row r="5" spans="1:5" x14ac:dyDescent="0.25">
      <c r="A5" s="8" t="s">
        <v>22</v>
      </c>
    </row>
    <row r="6" spans="1:5" x14ac:dyDescent="0.25">
      <c r="A6" s="8"/>
      <c r="B6" t="s">
        <v>23</v>
      </c>
    </row>
    <row r="7" spans="1:5" x14ac:dyDescent="0.25">
      <c r="A7" s="8"/>
      <c r="B7" t="s">
        <v>24</v>
      </c>
    </row>
    <row r="8" spans="1:5" x14ac:dyDescent="0.25">
      <c r="A8" s="8"/>
      <c r="B8" t="s">
        <v>79</v>
      </c>
    </row>
    <row r="9" spans="1:5" x14ac:dyDescent="0.25">
      <c r="A9" s="8" t="s">
        <v>26</v>
      </c>
    </row>
    <row r="10" spans="1:5" x14ac:dyDescent="0.25">
      <c r="B10" t="s">
        <v>27</v>
      </c>
    </row>
    <row r="11" spans="1:5" x14ac:dyDescent="0.25">
      <c r="B11" t="s">
        <v>28</v>
      </c>
    </row>
    <row r="14" spans="1:5" ht="15.75" thickBot="1" x14ac:dyDescent="0.3">
      <c r="A14" t="s">
        <v>29</v>
      </c>
    </row>
    <row r="15" spans="1:5" ht="15.75" thickBot="1" x14ac:dyDescent="0.3">
      <c r="B15" s="10" t="s">
        <v>30</v>
      </c>
      <c r="C15" s="10" t="s">
        <v>31</v>
      </c>
      <c r="D15" s="10" t="s">
        <v>32</v>
      </c>
      <c r="E15" s="10" t="s">
        <v>33</v>
      </c>
    </row>
    <row r="16" spans="1:5" ht="15.75" thickBot="1" x14ac:dyDescent="0.3">
      <c r="B16" s="9" t="s">
        <v>80</v>
      </c>
      <c r="C16" s="9" t="s">
        <v>42</v>
      </c>
      <c r="D16" s="12">
        <v>10.666666666666666</v>
      </c>
      <c r="E16" s="12">
        <v>10.666666666666666</v>
      </c>
    </row>
    <row r="19" spans="1:7" ht="15.75" thickBot="1" x14ac:dyDescent="0.3">
      <c r="A19" t="s">
        <v>34</v>
      </c>
    </row>
    <row r="20" spans="1:7" ht="15.75" thickBot="1" x14ac:dyDescent="0.3">
      <c r="B20" s="10" t="s">
        <v>30</v>
      </c>
      <c r="C20" s="10" t="s">
        <v>31</v>
      </c>
      <c r="D20" s="10" t="s">
        <v>32</v>
      </c>
      <c r="E20" s="10" t="s">
        <v>33</v>
      </c>
      <c r="F20" s="10" t="s">
        <v>35</v>
      </c>
    </row>
    <row r="21" spans="1:7" x14ac:dyDescent="0.25">
      <c r="B21" s="11" t="s">
        <v>81</v>
      </c>
      <c r="C21" s="11" t="s">
        <v>44</v>
      </c>
      <c r="D21" s="13">
        <v>26.666666666666664</v>
      </c>
      <c r="E21" s="13">
        <v>26.666666666666664</v>
      </c>
      <c r="F21" s="11" t="s">
        <v>45</v>
      </c>
    </row>
    <row r="22" spans="1:7" ht="15.75" thickBot="1" x14ac:dyDescent="0.3">
      <c r="B22" s="9" t="s">
        <v>82</v>
      </c>
      <c r="C22" s="9" t="s">
        <v>47</v>
      </c>
      <c r="D22" s="12">
        <v>26.666666666666668</v>
      </c>
      <c r="E22" s="12">
        <v>26.666666666666668</v>
      </c>
      <c r="F22" s="9" t="s">
        <v>45</v>
      </c>
    </row>
    <row r="25" spans="1:7" ht="15.75" thickBot="1" x14ac:dyDescent="0.3">
      <c r="A25" t="s">
        <v>36</v>
      </c>
    </row>
    <row r="26" spans="1:7" ht="15.75" thickBot="1" x14ac:dyDescent="0.3">
      <c r="B26" s="10" t="s">
        <v>30</v>
      </c>
      <c r="C26" s="10" t="s">
        <v>31</v>
      </c>
      <c r="D26" s="10" t="s">
        <v>37</v>
      </c>
      <c r="E26" s="10" t="s">
        <v>38</v>
      </c>
      <c r="F26" s="10" t="s">
        <v>39</v>
      </c>
      <c r="G26" s="10" t="s">
        <v>40</v>
      </c>
    </row>
    <row r="27" spans="1:7" x14ac:dyDescent="0.25">
      <c r="B27" s="11" t="s">
        <v>53</v>
      </c>
      <c r="C27" s="11" t="s">
        <v>5</v>
      </c>
      <c r="D27" s="13">
        <v>480</v>
      </c>
      <c r="E27" s="11" t="s">
        <v>54</v>
      </c>
      <c r="F27" s="11" t="s">
        <v>50</v>
      </c>
      <c r="G27" s="13">
        <v>450</v>
      </c>
    </row>
    <row r="28" spans="1:7" x14ac:dyDescent="0.25">
      <c r="B28" s="11" t="s">
        <v>55</v>
      </c>
      <c r="C28" s="11" t="s">
        <v>6</v>
      </c>
      <c r="D28" s="13">
        <v>1333.3333333333333</v>
      </c>
      <c r="E28" s="11" t="s">
        <v>56</v>
      </c>
      <c r="F28" s="11" t="s">
        <v>50</v>
      </c>
      <c r="G28" s="13">
        <v>333.33333333333326</v>
      </c>
    </row>
    <row r="29" spans="1:7" x14ac:dyDescent="0.25">
      <c r="B29" s="11" t="s">
        <v>57</v>
      </c>
      <c r="C29" s="11" t="s">
        <v>7</v>
      </c>
      <c r="D29" s="13">
        <v>100</v>
      </c>
      <c r="E29" s="11" t="s">
        <v>58</v>
      </c>
      <c r="F29" s="11" t="s">
        <v>59</v>
      </c>
      <c r="G29" s="13">
        <v>0</v>
      </c>
    </row>
    <row r="30" spans="1:7" x14ac:dyDescent="0.25">
      <c r="B30" s="11" t="s">
        <v>60</v>
      </c>
      <c r="C30" s="11" t="s">
        <v>8</v>
      </c>
      <c r="D30" s="13">
        <v>80</v>
      </c>
      <c r="E30" s="11" t="s">
        <v>61</v>
      </c>
      <c r="F30" s="11" t="s">
        <v>59</v>
      </c>
      <c r="G30" s="13">
        <v>0</v>
      </c>
    </row>
    <row r="31" spans="1:7" x14ac:dyDescent="0.25">
      <c r="B31" s="11" t="s">
        <v>81</v>
      </c>
      <c r="C31" s="11" t="s">
        <v>44</v>
      </c>
      <c r="D31" s="13">
        <v>26.666666666666664</v>
      </c>
      <c r="E31" s="11" t="s">
        <v>83</v>
      </c>
      <c r="F31" s="11" t="s">
        <v>50</v>
      </c>
      <c r="G31" s="11">
        <v>23.333333333333336</v>
      </c>
    </row>
    <row r="32" spans="1:7" ht="15.75" thickBot="1" x14ac:dyDescent="0.3">
      <c r="B32" s="9" t="s">
        <v>82</v>
      </c>
      <c r="C32" s="9" t="s">
        <v>47</v>
      </c>
      <c r="D32" s="12">
        <v>26.666666666666668</v>
      </c>
      <c r="E32" s="9" t="s">
        <v>84</v>
      </c>
      <c r="F32" s="9" t="s">
        <v>50</v>
      </c>
      <c r="G32" s="9">
        <v>58.333333333333329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E3327-1A84-4795-B18C-C141C1F22921}">
  <dimension ref="A1:H18"/>
  <sheetViews>
    <sheetView showGridLines="0" workbookViewId="0"/>
  </sheetViews>
  <sheetFormatPr defaultRowHeight="15" x14ac:dyDescent="0.25"/>
  <cols>
    <col min="1" max="1" width="2.28515625" customWidth="1"/>
    <col min="2" max="2" width="6.28515625" bestFit="1" customWidth="1"/>
    <col min="3" max="3" width="15.28515625" bestFit="1" customWidth="1"/>
    <col min="4" max="5" width="12" bestFit="1" customWidth="1"/>
    <col min="6" max="6" width="10.85546875" bestFit="1" customWidth="1"/>
    <col min="7" max="8" width="12" bestFit="1" customWidth="1"/>
  </cols>
  <sheetData>
    <row r="1" spans="1:8" x14ac:dyDescent="0.25">
      <c r="A1" s="8" t="s">
        <v>62</v>
      </c>
    </row>
    <row r="2" spans="1:8" x14ac:dyDescent="0.25">
      <c r="A2" s="8" t="s">
        <v>77</v>
      </c>
    </row>
    <row r="3" spans="1:8" x14ac:dyDescent="0.25">
      <c r="A3" s="8" t="s">
        <v>78</v>
      </c>
    </row>
    <row r="6" spans="1:8" ht="15.75" thickBot="1" x14ac:dyDescent="0.3">
      <c r="A6" t="s">
        <v>34</v>
      </c>
    </row>
    <row r="7" spans="1:8" x14ac:dyDescent="0.25">
      <c r="B7" s="14"/>
      <c r="C7" s="14"/>
      <c r="D7" s="14" t="s">
        <v>63</v>
      </c>
      <c r="E7" s="14" t="s">
        <v>65</v>
      </c>
      <c r="F7" s="14" t="s">
        <v>67</v>
      </c>
      <c r="G7" s="14" t="s">
        <v>69</v>
      </c>
      <c r="H7" s="14" t="s">
        <v>69</v>
      </c>
    </row>
    <row r="8" spans="1:8" ht="15.75" thickBot="1" x14ac:dyDescent="0.3">
      <c r="B8" s="15" t="s">
        <v>30</v>
      </c>
      <c r="C8" s="15" t="s">
        <v>31</v>
      </c>
      <c r="D8" s="15" t="s">
        <v>64</v>
      </c>
      <c r="E8" s="15" t="s">
        <v>66</v>
      </c>
      <c r="F8" s="15" t="s">
        <v>68</v>
      </c>
      <c r="G8" s="15" t="s">
        <v>70</v>
      </c>
      <c r="H8" s="15" t="s">
        <v>71</v>
      </c>
    </row>
    <row r="9" spans="1:8" x14ac:dyDescent="0.25">
      <c r="B9" s="11" t="s">
        <v>81</v>
      </c>
      <c r="C9" s="11" t="s">
        <v>44</v>
      </c>
      <c r="D9" s="11">
        <v>26.666666666666664</v>
      </c>
      <c r="E9" s="11">
        <v>0</v>
      </c>
      <c r="F9" s="11">
        <v>0.24</v>
      </c>
      <c r="G9" s="11">
        <v>8.0000000000000071E-2</v>
      </c>
      <c r="H9" s="11">
        <v>0.15999999999999998</v>
      </c>
    </row>
    <row r="10" spans="1:8" ht="15.75" thickBot="1" x14ac:dyDescent="0.3">
      <c r="B10" s="9" t="s">
        <v>82</v>
      </c>
      <c r="C10" s="9" t="s">
        <v>47</v>
      </c>
      <c r="D10" s="9">
        <v>26.666666666666668</v>
      </c>
      <c r="E10" s="9">
        <v>0</v>
      </c>
      <c r="F10" s="9">
        <v>0.16000000000000003</v>
      </c>
      <c r="G10" s="9">
        <v>0.31999999999999995</v>
      </c>
      <c r="H10" s="9">
        <v>4.0000000000000036E-2</v>
      </c>
    </row>
    <row r="12" spans="1:8" ht="15.75" thickBot="1" x14ac:dyDescent="0.3">
      <c r="A12" t="s">
        <v>36</v>
      </c>
    </row>
    <row r="13" spans="1:8" x14ac:dyDescent="0.25">
      <c r="B13" s="14"/>
      <c r="C13" s="14"/>
      <c r="D13" s="14" t="s">
        <v>63</v>
      </c>
      <c r="E13" s="14" t="s">
        <v>72</v>
      </c>
      <c r="F13" s="14" t="s">
        <v>74</v>
      </c>
      <c r="G13" s="14" t="s">
        <v>69</v>
      </c>
      <c r="H13" s="14" t="s">
        <v>69</v>
      </c>
    </row>
    <row r="14" spans="1:8" ht="15.75" thickBot="1" x14ac:dyDescent="0.3">
      <c r="B14" s="15" t="s">
        <v>30</v>
      </c>
      <c r="C14" s="15" t="s">
        <v>31</v>
      </c>
      <c r="D14" s="15" t="s">
        <v>64</v>
      </c>
      <c r="E14" s="15" t="s">
        <v>73</v>
      </c>
      <c r="F14" s="15" t="s">
        <v>75</v>
      </c>
      <c r="G14" s="15" t="s">
        <v>70</v>
      </c>
      <c r="H14" s="15" t="s">
        <v>71</v>
      </c>
    </row>
    <row r="15" spans="1:8" x14ac:dyDescent="0.25">
      <c r="B15" s="11" t="s">
        <v>53</v>
      </c>
      <c r="C15" s="11" t="s">
        <v>5</v>
      </c>
      <c r="D15" s="11">
        <v>480</v>
      </c>
      <c r="E15" s="11">
        <v>0</v>
      </c>
      <c r="F15" s="11">
        <v>30</v>
      </c>
      <c r="G15" s="11">
        <v>450</v>
      </c>
      <c r="H15" s="11">
        <v>1E+30</v>
      </c>
    </row>
    <row r="16" spans="1:8" x14ac:dyDescent="0.25">
      <c r="B16" s="11" t="s">
        <v>55</v>
      </c>
      <c r="C16" s="11" t="s">
        <v>6</v>
      </c>
      <c r="D16" s="11">
        <v>1333.3333333333333</v>
      </c>
      <c r="E16" s="11">
        <v>0</v>
      </c>
      <c r="F16" s="11">
        <v>1000</v>
      </c>
      <c r="G16" s="11">
        <v>333.33333333333331</v>
      </c>
      <c r="H16" s="11">
        <v>1E+30</v>
      </c>
    </row>
    <row r="17" spans="2:8" x14ac:dyDescent="0.25">
      <c r="B17" s="11" t="s">
        <v>57</v>
      </c>
      <c r="C17" s="11" t="s">
        <v>7</v>
      </c>
      <c r="D17" s="11">
        <v>100</v>
      </c>
      <c r="E17" s="11">
        <v>2.1333333333333353E-2</v>
      </c>
      <c r="F17" s="11">
        <v>100</v>
      </c>
      <c r="G17" s="11">
        <v>62.5</v>
      </c>
      <c r="H17" s="11">
        <v>50</v>
      </c>
    </row>
    <row r="18" spans="2:8" ht="15.75" thickBot="1" x14ac:dyDescent="0.3">
      <c r="B18" s="9" t="s">
        <v>60</v>
      </c>
      <c r="C18" s="9" t="s">
        <v>8</v>
      </c>
      <c r="D18" s="9">
        <v>80</v>
      </c>
      <c r="E18" s="9">
        <v>0.10666666666666665</v>
      </c>
      <c r="F18" s="9">
        <v>80</v>
      </c>
      <c r="G18" s="9">
        <v>35.000000000000007</v>
      </c>
      <c r="H18" s="9">
        <v>14.285714285714286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2BE5-9041-46B9-82BA-09CD00913F11}">
  <dimension ref="A1:E17"/>
  <sheetViews>
    <sheetView tabSelected="1" zoomScale="250" zoomScaleNormal="250" workbookViewId="0">
      <selection activeCell="H9" sqref="H9"/>
    </sheetView>
  </sheetViews>
  <sheetFormatPr defaultRowHeight="15" x14ac:dyDescent="0.25"/>
  <cols>
    <col min="1" max="1" width="16.28515625" customWidth="1"/>
    <col min="5" max="5" width="13" customWidth="1"/>
  </cols>
  <sheetData>
    <row r="1" spans="1:5" x14ac:dyDescent="0.25">
      <c r="A1" s="5" t="s">
        <v>0</v>
      </c>
      <c r="B1" s="5"/>
      <c r="C1" s="5"/>
      <c r="D1" s="5"/>
      <c r="E1" s="5"/>
    </row>
    <row r="3" spans="1:5" x14ac:dyDescent="0.25">
      <c r="A3" s="6" t="s">
        <v>1</v>
      </c>
      <c r="B3" s="6"/>
      <c r="C3" s="6"/>
      <c r="D3" s="6"/>
      <c r="E3" s="6"/>
    </row>
    <row r="5" spans="1:5" x14ac:dyDescent="0.25">
      <c r="B5" t="s">
        <v>2</v>
      </c>
      <c r="C5" t="s">
        <v>3</v>
      </c>
      <c r="E5" t="s">
        <v>14</v>
      </c>
    </row>
    <row r="6" spans="1:5" x14ac:dyDescent="0.25">
      <c r="A6" t="s">
        <v>4</v>
      </c>
      <c r="B6" s="1">
        <v>0.24</v>
      </c>
      <c r="C6" s="1">
        <v>0.16</v>
      </c>
      <c r="D6">
        <f>SUMPRODUCT(B6:C6,B$15:C$15)</f>
        <v>10.666666666666666</v>
      </c>
    </row>
    <row r="7" spans="1:5" x14ac:dyDescent="0.25">
      <c r="A7" t="s">
        <v>5</v>
      </c>
      <c r="B7" s="2">
        <v>10</v>
      </c>
      <c r="C7" s="2">
        <v>8</v>
      </c>
      <c r="D7">
        <f>SUMPRODUCT(B7:C7,B$15:C$15)</f>
        <v>480</v>
      </c>
      <c r="E7" s="3">
        <v>30</v>
      </c>
    </row>
    <row r="8" spans="1:5" x14ac:dyDescent="0.25">
      <c r="A8" t="s">
        <v>6</v>
      </c>
      <c r="B8" s="2">
        <v>40</v>
      </c>
      <c r="C8" s="2">
        <v>10</v>
      </c>
      <c r="D8">
        <f>SUMPRODUCT(B8:C8,B$15:C$15)</f>
        <v>1333.3333333333333</v>
      </c>
      <c r="E8" s="3">
        <v>1000</v>
      </c>
    </row>
    <row r="9" spans="1:5" x14ac:dyDescent="0.25">
      <c r="A9" t="s">
        <v>7</v>
      </c>
      <c r="B9" s="2">
        <v>1.25</v>
      </c>
      <c r="C9" s="2">
        <v>2.5</v>
      </c>
      <c r="D9">
        <f>SUMPRODUCT(B9:C9,B$15:C$15)</f>
        <v>100</v>
      </c>
      <c r="E9" s="3">
        <v>100</v>
      </c>
    </row>
    <row r="10" spans="1:5" x14ac:dyDescent="0.25">
      <c r="A10" t="s">
        <v>8</v>
      </c>
      <c r="B10" s="2">
        <v>2</v>
      </c>
      <c r="C10" s="2">
        <v>1</v>
      </c>
      <c r="D10">
        <f>SUMPRODUCT(B10:C10,B$15:C$15)</f>
        <v>80</v>
      </c>
      <c r="E10" s="3">
        <v>80</v>
      </c>
    </row>
    <row r="12" spans="1:5" x14ac:dyDescent="0.25">
      <c r="A12" s="6" t="s">
        <v>9</v>
      </c>
      <c r="B12" s="6"/>
      <c r="C12" s="6"/>
      <c r="D12" s="6"/>
      <c r="E12" s="6"/>
    </row>
    <row r="14" spans="1:5" x14ac:dyDescent="0.25">
      <c r="B14" t="s">
        <v>11</v>
      </c>
      <c r="C14" t="s">
        <v>12</v>
      </c>
      <c r="D14" t="s">
        <v>13</v>
      </c>
    </row>
    <row r="15" spans="1:5" x14ac:dyDescent="0.25">
      <c r="A15" t="s">
        <v>10</v>
      </c>
      <c r="B15" s="4">
        <v>26.666666666666664</v>
      </c>
      <c r="C15" s="4">
        <v>26.666666666666668</v>
      </c>
      <c r="D15" s="4">
        <f>D6</f>
        <v>10.666666666666666</v>
      </c>
    </row>
    <row r="17" spans="1:5" ht="47.25" customHeight="1" x14ac:dyDescent="0.25">
      <c r="A17" s="7" t="s">
        <v>76</v>
      </c>
      <c r="B17" s="7"/>
      <c r="C17" s="7"/>
      <c r="D17" s="7"/>
      <c r="E17" s="7"/>
    </row>
  </sheetData>
  <mergeCells count="4">
    <mergeCell ref="A1:E1"/>
    <mergeCell ref="A3:E3"/>
    <mergeCell ref="A12:E12"/>
    <mergeCell ref="A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Answer Report 1</vt:lpstr>
      <vt:lpstr>Sensitivity Report 1</vt:lpstr>
      <vt:lpstr>1ви начин</vt:lpstr>
      <vt:lpstr>Answer Report 2</vt:lpstr>
      <vt:lpstr>Sensitivity Report 2</vt:lpstr>
      <vt:lpstr>2ри начин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PC-Admin</dc:creator>
  <cp:lastModifiedBy>El Cochino</cp:lastModifiedBy>
  <dcterms:created xsi:type="dcterms:W3CDTF">2015-06-05T18:17:20Z</dcterms:created>
  <dcterms:modified xsi:type="dcterms:W3CDTF">2026-01-29T15:08:08Z</dcterms:modified>
</cp:coreProperties>
</file>