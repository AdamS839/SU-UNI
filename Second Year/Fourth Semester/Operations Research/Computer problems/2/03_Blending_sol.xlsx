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2\"/>
    </mc:Choice>
  </mc:AlternateContent>
  <xr:revisionPtr revIDLastSave="0" documentId="13_ncr:1_{085092E1-B1DC-42D5-908F-5B8F652420A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Answer Report 1" sheetId="2" r:id="rId1"/>
    <sheet name="Sensitivity Report 1" sheetId="3" r:id="rId2"/>
    <sheet name="1 кг" sheetId="1" r:id="rId3"/>
    <sheet name="Answer Report 2" sheetId="5" r:id="rId4"/>
    <sheet name="Sensitivity Report 2" sheetId="6" r:id="rId5"/>
    <sheet name="10 кг" sheetId="4" r:id="rId6"/>
  </sheets>
  <definedNames>
    <definedName name="solver_adj" localSheetId="2" hidden="1">'1 кг'!$B$16:$D$16</definedName>
    <definedName name="solver_adj" localSheetId="5" hidden="1">'10 кг'!$B$16:$D$16</definedName>
    <definedName name="solver_cvg" localSheetId="2" hidden="1">0.0001</definedName>
    <definedName name="solver_cvg" localSheetId="5" hidden="1">0.0001</definedName>
    <definedName name="solver_drv" localSheetId="2" hidden="1">2</definedName>
    <definedName name="solver_drv" localSheetId="5" hidden="1">1</definedName>
    <definedName name="solver_eng" localSheetId="2" hidden="1">2</definedName>
    <definedName name="solver_eng" localSheetId="5" hidden="1">2</definedName>
    <definedName name="solver_est" localSheetId="2" hidden="1">1</definedName>
    <definedName name="solver_est" localSheetId="5" hidden="1">1</definedName>
    <definedName name="solver_itr" localSheetId="2" hidden="1">2147483647</definedName>
    <definedName name="solver_itr" localSheetId="5" hidden="1">2147483647</definedName>
    <definedName name="solver_lhs1" localSheetId="2" hidden="1">'1 кг'!$E$10</definedName>
    <definedName name="solver_lhs1" localSheetId="5" hidden="1">'10 кг'!$E$10</definedName>
    <definedName name="solver_lhs2" localSheetId="2" hidden="1">'1 кг'!$E$11</definedName>
    <definedName name="solver_lhs2" localSheetId="5" hidden="1">'10 кг'!$E$11</definedName>
    <definedName name="solver_lhs3" localSheetId="2" hidden="1">'1 кг'!$E$7</definedName>
    <definedName name="solver_lhs3" localSheetId="5" hidden="1">'10 кг'!$E$7</definedName>
    <definedName name="solver_lhs4" localSheetId="2" hidden="1">'1 кг'!$E$8</definedName>
    <definedName name="solver_lhs4" localSheetId="5" hidden="1">'10 кг'!$E$8</definedName>
    <definedName name="solver_lhs5" localSheetId="2" hidden="1">'1 кг'!$E$9</definedName>
    <definedName name="solver_lhs5" localSheetId="5" hidden="1">'10 кг'!$E$9</definedName>
    <definedName name="solver_mip" localSheetId="2" hidden="1">2147483647</definedName>
    <definedName name="solver_mip" localSheetId="5" hidden="1">2147483647</definedName>
    <definedName name="solver_mni" localSheetId="2" hidden="1">30</definedName>
    <definedName name="solver_mni" localSheetId="5" hidden="1">30</definedName>
    <definedName name="solver_mrt" localSheetId="2" hidden="1">0.075</definedName>
    <definedName name="solver_mrt" localSheetId="5" hidden="1">0.075</definedName>
    <definedName name="solver_msl" localSheetId="2" hidden="1">2</definedName>
    <definedName name="solver_msl" localSheetId="5" hidden="1">2</definedName>
    <definedName name="solver_neg" localSheetId="2" hidden="1">1</definedName>
    <definedName name="solver_neg" localSheetId="5" hidden="1">1</definedName>
    <definedName name="solver_nod" localSheetId="2" hidden="1">2147483647</definedName>
    <definedName name="solver_nod" localSheetId="5" hidden="1">2147483647</definedName>
    <definedName name="solver_num" localSheetId="2" hidden="1">5</definedName>
    <definedName name="solver_num" localSheetId="5" hidden="1">5</definedName>
    <definedName name="solver_nwt" localSheetId="2" hidden="1">1</definedName>
    <definedName name="solver_nwt" localSheetId="5" hidden="1">1</definedName>
    <definedName name="solver_opt" localSheetId="2" hidden="1">'1 кг'!$E$16</definedName>
    <definedName name="solver_opt" localSheetId="5" hidden="1">'10 кг'!$E$16</definedName>
    <definedName name="solver_pre" localSheetId="2" hidden="1">0.000001</definedName>
    <definedName name="solver_pre" localSheetId="5" hidden="1">0.000001</definedName>
    <definedName name="solver_rbv" localSheetId="2" hidden="1">2</definedName>
    <definedName name="solver_rbv" localSheetId="5" hidden="1">1</definedName>
    <definedName name="solver_rel1" localSheetId="2" hidden="1">3</definedName>
    <definedName name="solver_rel1" localSheetId="5" hidden="1">3</definedName>
    <definedName name="solver_rel2" localSheetId="2" hidden="1">1</definedName>
    <definedName name="solver_rel2" localSheetId="5" hidden="1">1</definedName>
    <definedName name="solver_rel3" localSheetId="2" hidden="1">2</definedName>
    <definedName name="solver_rel3" localSheetId="5" hidden="1">2</definedName>
    <definedName name="solver_rel4" localSheetId="2" hidden="1">3</definedName>
    <definedName name="solver_rel4" localSheetId="5" hidden="1">3</definedName>
    <definedName name="solver_rel5" localSheetId="2" hidden="1">1</definedName>
    <definedName name="solver_rel5" localSheetId="5" hidden="1">1</definedName>
    <definedName name="solver_rhs1" localSheetId="2" hidden="1">'1 кг'!$F$10</definedName>
    <definedName name="solver_rhs1" localSheetId="5" hidden="1">'10 кг'!$F$10</definedName>
    <definedName name="solver_rhs2" localSheetId="2" hidden="1">'1 кг'!$F$11</definedName>
    <definedName name="solver_rhs2" localSheetId="5" hidden="1">'10 кг'!$F$11</definedName>
    <definedName name="solver_rhs3" localSheetId="2" hidden="1">'1 кг'!$F$7</definedName>
    <definedName name="solver_rhs3" localSheetId="5" hidden="1">'10 кг'!$F$7</definedName>
    <definedName name="solver_rhs4" localSheetId="2" hidden="1">'1 кг'!$F$8</definedName>
    <definedName name="solver_rhs4" localSheetId="5" hidden="1">'10 кг'!$F$8</definedName>
    <definedName name="solver_rhs5" localSheetId="2" hidden="1">'1 кг'!$F$9</definedName>
    <definedName name="solver_rhs5" localSheetId="5" hidden="1">'10 кг'!$F$9</definedName>
    <definedName name="solver_rlx" localSheetId="2" hidden="1">2</definedName>
    <definedName name="solver_rlx" localSheetId="5" hidden="1">2</definedName>
    <definedName name="solver_rsd" localSheetId="2" hidden="1">0</definedName>
    <definedName name="solver_rsd" localSheetId="5" hidden="1">0</definedName>
    <definedName name="solver_scl" localSheetId="2" hidden="1">2</definedName>
    <definedName name="solver_scl" localSheetId="5" hidden="1">1</definedName>
    <definedName name="solver_sho" localSheetId="2" hidden="1">2</definedName>
    <definedName name="solver_sho" localSheetId="5" hidden="1">2</definedName>
    <definedName name="solver_ssz" localSheetId="2" hidden="1">100</definedName>
    <definedName name="solver_ssz" localSheetId="5" hidden="1">100</definedName>
    <definedName name="solver_tim" localSheetId="2" hidden="1">2147483647</definedName>
    <definedName name="solver_tim" localSheetId="5" hidden="1">2147483647</definedName>
    <definedName name="solver_tol" localSheetId="2" hidden="1">0.01</definedName>
    <definedName name="solver_tol" localSheetId="5" hidden="1">0.01</definedName>
    <definedName name="solver_typ" localSheetId="2" hidden="1">2</definedName>
    <definedName name="solver_typ" localSheetId="5" hidden="1">2</definedName>
    <definedName name="solver_val" localSheetId="2" hidden="1">0</definedName>
    <definedName name="solver_val" localSheetId="5" hidden="1">0</definedName>
    <definedName name="solver_ver" localSheetId="2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" l="1"/>
  <c r="E10" i="4"/>
  <c r="E9" i="4"/>
  <c r="E8" i="4"/>
  <c r="E7" i="4"/>
  <c r="E6" i="4"/>
  <c r="E16" i="4" s="1"/>
  <c r="E9" i="1"/>
  <c r="E7" i="1"/>
  <c r="E8" i="1"/>
  <c r="E10" i="1"/>
  <c r="E11" i="1"/>
  <c r="E6" i="1"/>
  <c r="E16" i="1" s="1"/>
</calcChain>
</file>

<file path=xl/sharedStrings.xml><?xml version="1.0" encoding="utf-8"?>
<sst xmlns="http://schemas.openxmlformats.org/spreadsheetml/2006/main" count="246" uniqueCount="81">
  <si>
    <t>Начални данни</t>
  </si>
  <si>
    <t>Целева функция</t>
  </si>
  <si>
    <t>Крайни резултати</t>
  </si>
  <si>
    <t>Решение:</t>
  </si>
  <si>
    <t>x1</t>
  </si>
  <si>
    <t>x2</t>
  </si>
  <si>
    <t>Опт. ст-ст</t>
  </si>
  <si>
    <t>Десни страни</t>
  </si>
  <si>
    <t>Модел на задачата за смесване</t>
  </si>
  <si>
    <t>Варовик</t>
  </si>
  <si>
    <t>Царевица</t>
  </si>
  <si>
    <t>Соя</t>
  </si>
  <si>
    <t>Общо тегло</t>
  </si>
  <si>
    <t>x3</t>
  </si>
  <si>
    <t>Калций min</t>
  </si>
  <si>
    <t>Калций max</t>
  </si>
  <si>
    <t>Белтъчини min</t>
  </si>
  <si>
    <t>Целулоза max</t>
  </si>
  <si>
    <t>Microsoft Excel 16.0 Answer Report</t>
  </si>
  <si>
    <t>Worksheet: [03_Blending_sol.xlsx]1 кг</t>
  </si>
  <si>
    <t>Report Created: 30.1.2026 г. 12:49:51</t>
  </si>
  <si>
    <t>Result: Solver found a solution.  All Constraints and optimality conditions are satisfied.</t>
  </si>
  <si>
    <t>Solver Engine</t>
  </si>
  <si>
    <t>Engine: Simplex LP</t>
  </si>
  <si>
    <t>Solution Time: 0,016 Seconds.</t>
  </si>
  <si>
    <t>Iterations: 6 Subproblems: 0</t>
  </si>
  <si>
    <t>Solver Options</t>
  </si>
  <si>
    <t>Max Time Unlimited,  Iterations Unlimited, Precision 0,000001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</si>
  <si>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</si>
  <si>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</si>
  <si>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</si>
  <si>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</si>
  <si>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</si>
  <si>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</si>
  <si>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</si>
  <si>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</si>
  <si>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</si>
  <si>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</si>
  <si>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</si>
  <si>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</si>
  <si>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</si>
  <si>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$E$16</t>
  </si>
  <si>
    <t>Решение: Опт. ст-ст</t>
  </si>
  <si>
    <t>$B$16</t>
  </si>
  <si>
    <t>Решение: x1</t>
  </si>
  <si>
    <t>Contin</t>
  </si>
  <si>
    <t>$C$16</t>
  </si>
  <si>
    <t>Решение: x2</t>
  </si>
  <si>
    <t>$D$16</t>
  </si>
  <si>
    <t>Решение: x3</t>
  </si>
  <si>
    <t>$E$10</t>
  </si>
  <si>
    <t>$E$10&gt;=$F$10</t>
  </si>
  <si>
    <t>Binding</t>
  </si>
  <si>
    <t>$E$11</t>
  </si>
  <si>
    <t>$E$11&lt;=$F$11</t>
  </si>
  <si>
    <t>Not Binding</t>
  </si>
  <si>
    <t>$E$7</t>
  </si>
  <si>
    <t>$E$7=$F$7</t>
  </si>
  <si>
    <t>$E$8</t>
  </si>
  <si>
    <t>$E$8&gt;=$F$8</t>
  </si>
  <si>
    <t>$E$9</t>
  </si>
  <si>
    <t>$E$9&lt;=$F$9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</si>
  <si>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</si>
  <si>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</si>
  <si>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</si>
  <si>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</si>
  <si>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</si>
  <si>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</si>
  <si>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</si>
  <si>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</si>
  <si>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</si>
  <si>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</si>
  <si>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</si>
  <si>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</si>
  <si>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</si>
  <si>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</si>
  <si>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Worksheet: [03_Blending_sol.xlsx]10 кг</t>
  </si>
  <si>
    <t>Report Created: 30.1.2026 г. 12:55:09</t>
  </si>
  <si>
    <t>Solution Time: 0 Seconds.</t>
  </si>
  <si>
    <t>Iterations: 4 Subproblems: 0</t>
  </si>
  <si>
    <t>Max Time Unlimited,  Iterations Unlimited, Precision 0,000001, Use Automatic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</si>
</sst>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18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0" fillId="0" borderId="0" xfId="0" applyAlignment="1">
      <alignment horizontal="left"/>
    </xf>
    <xf numFmtId="2" fontId="0" fillId="5" borderId="1" xfId="0" applyNumberFormat="1" applyFill="1" applyBorder="1"/>
    <xf numFmtId="164" fontId="0" fillId="5" borderId="1" xfId="0" applyNumberFormat="1" applyFill="1" applyBorder="1"/>
    <xf numFmtId="0" fontId="2" fillId="0" borderId="0" xfId="0" applyFont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5" xfId="0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</cellXfs>
  <cellStyles count="3">
    <cellStyle name="Neutral 2" xfId="2" xr:uid="{0B5BB495-A525-4593-BA26-7E0720D944C7}"/>
    <cellStyle name="Normal" xfId="0" builtinId="0"/>
    <cellStyle name="Normal 2" xfId="1" xr:uid="{930213AD-F1D0-4E1A-AD17-839138088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2AC1-0457-4CB5-B822-A28FE598536E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" bestFit="1" customWidth="1"/>
    <col min="3" max="3" width="19.28515625" bestFit="1" customWidth="1"/>
    <col min="4" max="4" width="13.7109375" bestFit="1" customWidth="1"/>
    <col min="5" max="5" width="13.140625" bestFit="1" customWidth="1"/>
    <col min="6" max="6" width="11.42578125" bestFit="1" customWidth="1"/>
    <col min="7" max="7" width="12" bestFit="1" customWidth="1"/>
  </cols>
  <sheetData>
    <row r="1" spans="1:5" x14ac:dyDescent="0.25">
      <c r="A1" s="10" t="s">
        <v>18</v>
      </c>
    </row>
    <row r="2" spans="1:5" x14ac:dyDescent="0.25">
      <c r="A2" s="10" t="s">
        <v>19</v>
      </c>
    </row>
    <row r="3" spans="1:5" x14ac:dyDescent="0.25">
      <c r="A3" s="10" t="s">
        <v>20</v>
      </c>
    </row>
    <row r="4" spans="1:5" x14ac:dyDescent="0.25">
      <c r="A4" s="10" t="s">
        <v>21</v>
      </c>
    </row>
    <row r="5" spans="1:5" x14ac:dyDescent="0.25">
      <c r="A5" s="10" t="s">
        <v>22</v>
      </c>
    </row>
    <row r="6" spans="1:5" x14ac:dyDescent="0.25">
      <c r="A6" s="10"/>
      <c r="B6" t="s">
        <v>23</v>
      </c>
    </row>
    <row r="7" spans="1:5" x14ac:dyDescent="0.25">
      <c r="A7" s="10"/>
      <c r="B7" t="s">
        <v>24</v>
      </c>
    </row>
    <row r="8" spans="1:5" x14ac:dyDescent="0.25">
      <c r="A8" s="10"/>
      <c r="B8" t="s">
        <v>25</v>
      </c>
    </row>
    <row r="9" spans="1:5" x14ac:dyDescent="0.25">
      <c r="A9" s="10" t="s">
        <v>26</v>
      </c>
    </row>
    <row r="10" spans="1:5" x14ac:dyDescent="0.25">
      <c r="B10" t="s">
        <v>27</v>
      </c>
    </row>
    <row r="11" spans="1:5" x14ac:dyDescent="0.25">
      <c r="B11" t="s">
        <v>28</v>
      </c>
    </row>
    <row r="14" spans="1:5" ht="15.75" thickBot="1" x14ac:dyDescent="0.3">
      <c r="A14" t="s">
        <v>29</v>
      </c>
    </row>
    <row r="15" spans="1:5" ht="15.75" thickBot="1" x14ac:dyDescent="0.3">
      <c r="B15" s="12" t="s">
        <v>30</v>
      </c>
      <c r="C15" s="12" t="s">
        <v>31</v>
      </c>
      <c r="D15" s="12" t="s">
        <v>32</v>
      </c>
      <c r="E15" s="12" t="s">
        <v>33</v>
      </c>
    </row>
    <row r="16" spans="1:5" ht="15.75" thickBot="1" x14ac:dyDescent="0.3">
      <c r="B16" s="11" t="s">
        <v>41</v>
      </c>
      <c r="C16" s="11" t="s">
        <v>42</v>
      </c>
      <c r="D16" s="14">
        <v>0</v>
      </c>
      <c r="E16" s="14">
        <v>0.48832004116285049</v>
      </c>
    </row>
    <row r="19" spans="1:7" ht="15.75" thickBot="1" x14ac:dyDescent="0.3">
      <c r="A19" t="s">
        <v>34</v>
      </c>
    </row>
    <row r="20" spans="1:7" ht="15.75" thickBot="1" x14ac:dyDescent="0.3">
      <c r="B20" s="12" t="s">
        <v>30</v>
      </c>
      <c r="C20" s="12" t="s">
        <v>31</v>
      </c>
      <c r="D20" s="12" t="s">
        <v>32</v>
      </c>
      <c r="E20" s="12" t="s">
        <v>33</v>
      </c>
      <c r="F20" s="12" t="s">
        <v>35</v>
      </c>
    </row>
    <row r="21" spans="1:7" x14ac:dyDescent="0.25">
      <c r="B21" s="13" t="s">
        <v>43</v>
      </c>
      <c r="C21" s="13" t="s">
        <v>44</v>
      </c>
      <c r="D21" s="15">
        <v>0</v>
      </c>
      <c r="E21" s="15">
        <v>2.8170825829688703E-2</v>
      </c>
      <c r="F21" s="13" t="s">
        <v>45</v>
      </c>
    </row>
    <row r="22" spans="1:7" x14ac:dyDescent="0.25">
      <c r="B22" s="13" t="s">
        <v>46</v>
      </c>
      <c r="C22" s="13" t="s">
        <v>47</v>
      </c>
      <c r="D22" s="15">
        <v>0</v>
      </c>
      <c r="E22" s="15">
        <v>0.64857216362233094</v>
      </c>
      <c r="F22" s="13" t="s">
        <v>45</v>
      </c>
    </row>
    <row r="23" spans="1:7" ht="15.75" thickBot="1" x14ac:dyDescent="0.3">
      <c r="B23" s="11" t="s">
        <v>48</v>
      </c>
      <c r="C23" s="11" t="s">
        <v>49</v>
      </c>
      <c r="D23" s="14">
        <v>0</v>
      </c>
      <c r="E23" s="14">
        <v>0.32325701054798039</v>
      </c>
      <c r="F23" s="11" t="s">
        <v>45</v>
      </c>
    </row>
    <row r="26" spans="1:7" ht="15.75" thickBot="1" x14ac:dyDescent="0.3">
      <c r="A26" t="s">
        <v>36</v>
      </c>
    </row>
    <row r="27" spans="1:7" ht="15.75" thickBot="1" x14ac:dyDescent="0.3">
      <c r="B27" s="12" t="s">
        <v>30</v>
      </c>
      <c r="C27" s="12" t="s">
        <v>31</v>
      </c>
      <c r="D27" s="12" t="s">
        <v>37</v>
      </c>
      <c r="E27" s="12" t="s">
        <v>38</v>
      </c>
      <c r="F27" s="12" t="s">
        <v>39</v>
      </c>
      <c r="G27" s="12" t="s">
        <v>40</v>
      </c>
    </row>
    <row r="28" spans="1:7" x14ac:dyDescent="0.25">
      <c r="B28" s="13" t="s">
        <v>50</v>
      </c>
      <c r="C28" s="13" t="s">
        <v>16</v>
      </c>
      <c r="D28" s="15">
        <v>0.21999999999999997</v>
      </c>
      <c r="E28" s="13" t="s">
        <v>51</v>
      </c>
      <c r="F28" s="13" t="s">
        <v>52</v>
      </c>
      <c r="G28" s="15">
        <v>0</v>
      </c>
    </row>
    <row r="29" spans="1:7" x14ac:dyDescent="0.25">
      <c r="B29" s="13" t="s">
        <v>53</v>
      </c>
      <c r="C29" s="13" t="s">
        <v>17</v>
      </c>
      <c r="D29" s="15">
        <v>3.8832004116285054E-2</v>
      </c>
      <c r="E29" s="13" t="s">
        <v>54</v>
      </c>
      <c r="F29" s="13" t="s">
        <v>55</v>
      </c>
      <c r="G29" s="13">
        <v>1.1167995883714948E-2</v>
      </c>
    </row>
    <row r="30" spans="1:7" x14ac:dyDescent="0.25">
      <c r="B30" s="13" t="s">
        <v>56</v>
      </c>
      <c r="C30" s="13" t="s">
        <v>12</v>
      </c>
      <c r="D30" s="15">
        <v>1</v>
      </c>
      <c r="E30" s="13" t="s">
        <v>57</v>
      </c>
      <c r="F30" s="13" t="s">
        <v>52</v>
      </c>
      <c r="G30" s="13">
        <v>0</v>
      </c>
    </row>
    <row r="31" spans="1:7" x14ac:dyDescent="0.25">
      <c r="B31" s="13" t="s">
        <v>58</v>
      </c>
      <c r="C31" s="13" t="s">
        <v>14</v>
      </c>
      <c r="D31" s="15">
        <v>1.1999999999999999E-2</v>
      </c>
      <c r="E31" s="13" t="s">
        <v>59</v>
      </c>
      <c r="F31" s="13" t="s">
        <v>55</v>
      </c>
      <c r="G31" s="15">
        <v>3.9999999999999983E-3</v>
      </c>
    </row>
    <row r="32" spans="1:7" ht="15.75" thickBot="1" x14ac:dyDescent="0.3">
      <c r="B32" s="11" t="s">
        <v>60</v>
      </c>
      <c r="C32" s="11" t="s">
        <v>15</v>
      </c>
      <c r="D32" s="14">
        <v>1.1999999999999999E-2</v>
      </c>
      <c r="E32" s="11" t="s">
        <v>61</v>
      </c>
      <c r="F32" s="11" t="s">
        <v>52</v>
      </c>
      <c r="G32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CB04-755A-4ED4-9A16-44D6EAED2D14}">
  <dimension ref="A1:H20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4.85546875" bestFit="1" customWidth="1"/>
    <col min="4" max="4" width="12" bestFit="1" customWidth="1"/>
    <col min="5" max="5" width="12.7109375" bestFit="1" customWidth="1"/>
    <col min="6" max="6" width="10.85546875" bestFit="1" customWidth="1"/>
    <col min="7" max="8" width="12" bestFit="1" customWidth="1"/>
  </cols>
  <sheetData>
    <row r="1" spans="1:8" x14ac:dyDescent="0.25">
      <c r="A1" s="10" t="s">
        <v>62</v>
      </c>
    </row>
    <row r="2" spans="1:8" x14ac:dyDescent="0.25">
      <c r="A2" s="10" t="s">
        <v>19</v>
      </c>
    </row>
    <row r="3" spans="1:8" x14ac:dyDescent="0.25">
      <c r="A3" s="10" t="s">
        <v>20</v>
      </c>
    </row>
    <row r="6" spans="1:8" ht="15.75" thickBot="1" x14ac:dyDescent="0.3">
      <c r="A6" t="s">
        <v>34</v>
      </c>
    </row>
    <row r="7" spans="1:8" x14ac:dyDescent="0.25">
      <c r="B7" s="16"/>
      <c r="C7" s="16"/>
      <c r="D7" s="16" t="s">
        <v>63</v>
      </c>
      <c r="E7" s="16" t="s">
        <v>65</v>
      </c>
      <c r="F7" s="16" t="s">
        <v>67</v>
      </c>
      <c r="G7" s="16" t="s">
        <v>69</v>
      </c>
      <c r="H7" s="16" t="s">
        <v>69</v>
      </c>
    </row>
    <row r="8" spans="1:8" ht="15.75" thickBot="1" x14ac:dyDescent="0.3">
      <c r="B8" s="17" t="s">
        <v>30</v>
      </c>
      <c r="C8" s="17" t="s">
        <v>31</v>
      </c>
      <c r="D8" s="17" t="s">
        <v>64</v>
      </c>
      <c r="E8" s="17" t="s">
        <v>66</v>
      </c>
      <c r="F8" s="17" t="s">
        <v>68</v>
      </c>
      <c r="G8" s="17" t="s">
        <v>70</v>
      </c>
      <c r="H8" s="17" t="s">
        <v>71</v>
      </c>
    </row>
    <row r="9" spans="1:8" x14ac:dyDescent="0.25">
      <c r="B9" s="13" t="s">
        <v>43</v>
      </c>
      <c r="C9" s="13" t="s">
        <v>44</v>
      </c>
      <c r="D9" s="13">
        <v>2.8170825829688703E-2</v>
      </c>
      <c r="E9" s="13">
        <v>0</v>
      </c>
      <c r="F9" s="13">
        <v>0.1</v>
      </c>
      <c r="G9" s="13">
        <v>6.8292682926829273E-2</v>
      </c>
      <c r="H9" s="13">
        <v>1E+30</v>
      </c>
    </row>
    <row r="10" spans="1:8" x14ac:dyDescent="0.25">
      <c r="B10" s="13" t="s">
        <v>46</v>
      </c>
      <c r="C10" s="13" t="s">
        <v>47</v>
      </c>
      <c r="D10" s="13">
        <v>0.64857216362233094</v>
      </c>
      <c r="E10" s="13">
        <v>0</v>
      </c>
      <c r="F10" s="13">
        <v>0.30000000000000004</v>
      </c>
      <c r="G10" s="13">
        <v>0.60211640211640205</v>
      </c>
      <c r="H10" s="13">
        <v>5.6000000000000015E-2</v>
      </c>
    </row>
    <row r="11" spans="1:8" ht="15.75" thickBot="1" x14ac:dyDescent="0.3">
      <c r="B11" s="11" t="s">
        <v>48</v>
      </c>
      <c r="C11" s="11" t="s">
        <v>49</v>
      </c>
      <c r="D11" s="11">
        <v>0.32325701054798039</v>
      </c>
      <c r="E11" s="11">
        <v>0</v>
      </c>
      <c r="F11" s="11">
        <v>0.9</v>
      </c>
      <c r="G11" s="11">
        <v>0.31111111111111117</v>
      </c>
      <c r="H11" s="11">
        <v>0.60052770448548798</v>
      </c>
    </row>
    <row r="13" spans="1:8" ht="15.75" thickBot="1" x14ac:dyDescent="0.3">
      <c r="A13" t="s">
        <v>36</v>
      </c>
    </row>
    <row r="14" spans="1:8" x14ac:dyDescent="0.25">
      <c r="B14" s="16"/>
      <c r="C14" s="16"/>
      <c r="D14" s="16" t="s">
        <v>63</v>
      </c>
      <c r="E14" s="16" t="s">
        <v>72</v>
      </c>
      <c r="F14" s="16" t="s">
        <v>74</v>
      </c>
      <c r="G14" s="16" t="s">
        <v>69</v>
      </c>
      <c r="H14" s="16" t="s">
        <v>69</v>
      </c>
    </row>
    <row r="15" spans="1:8" ht="15.75" thickBot="1" x14ac:dyDescent="0.3">
      <c r="B15" s="17" t="s">
        <v>30</v>
      </c>
      <c r="C15" s="17" t="s">
        <v>31</v>
      </c>
      <c r="D15" s="17" t="s">
        <v>64</v>
      </c>
      <c r="E15" s="17" t="s">
        <v>73</v>
      </c>
      <c r="F15" s="17" t="s">
        <v>75</v>
      </c>
      <c r="G15" s="17" t="s">
        <v>70</v>
      </c>
      <c r="H15" s="17" t="s">
        <v>71</v>
      </c>
    </row>
    <row r="16" spans="1:8" x14ac:dyDescent="0.25">
      <c r="B16" s="13" t="s">
        <v>50</v>
      </c>
      <c r="C16" s="13" t="s">
        <v>16</v>
      </c>
      <c r="D16" s="13">
        <v>0.21999999999999997</v>
      </c>
      <c r="E16" s="13">
        <v>1.4638538718806275</v>
      </c>
      <c r="F16" s="13">
        <v>0.22</v>
      </c>
      <c r="G16" s="13">
        <v>7.6291739894551847E-2</v>
      </c>
      <c r="H16" s="13">
        <v>0.1326121372031662</v>
      </c>
    </row>
    <row r="17" spans="2:8" x14ac:dyDescent="0.25">
      <c r="B17" s="13" t="s">
        <v>53</v>
      </c>
      <c r="C17" s="13" t="s">
        <v>17</v>
      </c>
      <c r="D17" s="13">
        <v>3.8832004116285054E-2</v>
      </c>
      <c r="E17" s="13">
        <v>0</v>
      </c>
      <c r="F17" s="13">
        <v>0.05</v>
      </c>
      <c r="G17" s="13">
        <v>1E+30</v>
      </c>
      <c r="H17" s="13">
        <v>1.1167995883714947E-2</v>
      </c>
    </row>
    <row r="18" spans="2:8" x14ac:dyDescent="0.25">
      <c r="B18" s="13" t="s">
        <v>56</v>
      </c>
      <c r="C18" s="13" t="s">
        <v>12</v>
      </c>
      <c r="D18" s="13">
        <v>1</v>
      </c>
      <c r="E18" s="13">
        <v>0.16843323900180091</v>
      </c>
      <c r="F18" s="13">
        <v>1</v>
      </c>
      <c r="G18" s="13">
        <v>1.4695906432748538</v>
      </c>
      <c r="H18" s="13">
        <v>0.53073684210526328</v>
      </c>
    </row>
    <row r="19" spans="2:8" x14ac:dyDescent="0.25">
      <c r="B19" s="13" t="s">
        <v>58</v>
      </c>
      <c r="C19" s="13" t="s">
        <v>14</v>
      </c>
      <c r="D19" s="13">
        <v>1.1999999999999999E-2</v>
      </c>
      <c r="E19" s="13">
        <v>0</v>
      </c>
      <c r="F19" s="13">
        <v>8.0000000000000002E-3</v>
      </c>
      <c r="G19" s="13">
        <v>3.9999999999999992E-3</v>
      </c>
      <c r="H19" s="13">
        <v>1E+30</v>
      </c>
    </row>
    <row r="20" spans="2:8" ht="15.75" thickBot="1" x14ac:dyDescent="0.3">
      <c r="B20" s="11" t="s">
        <v>60</v>
      </c>
      <c r="C20" s="11" t="s">
        <v>15</v>
      </c>
      <c r="D20" s="11">
        <v>1.1999999999999999E-2</v>
      </c>
      <c r="E20" s="11">
        <v>-0.18008747105737075</v>
      </c>
      <c r="F20" s="11">
        <v>1.2E-2</v>
      </c>
      <c r="G20" s="11">
        <v>0.20168000000000005</v>
      </c>
      <c r="H20" s="11">
        <v>3.9999999999999992E-3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75" zoomScaleNormal="175" workbookViewId="0">
      <selection activeCell="F27" sqref="F27"/>
    </sheetView>
  </sheetViews>
  <sheetFormatPr defaultRowHeight="15" x14ac:dyDescent="0.25"/>
  <cols>
    <col min="1" max="1" width="17.5703125" customWidth="1"/>
    <col min="3" max="3" width="9.5703125" customWidth="1"/>
    <col min="6" max="6" width="13.42578125" customWidth="1"/>
  </cols>
  <sheetData>
    <row r="1" spans="1:6" x14ac:dyDescent="0.25">
      <c r="A1" s="8" t="s">
        <v>8</v>
      </c>
      <c r="B1" s="8"/>
      <c r="C1" s="8"/>
      <c r="D1" s="8"/>
      <c r="E1" s="8"/>
      <c r="F1" s="8"/>
    </row>
    <row r="3" spans="1:6" x14ac:dyDescent="0.25">
      <c r="A3" s="9" t="s">
        <v>0</v>
      </c>
      <c r="B3" s="9"/>
      <c r="C3" s="9"/>
      <c r="D3" s="9"/>
      <c r="E3" s="9"/>
      <c r="F3" s="9"/>
    </row>
    <row r="5" spans="1:6" x14ac:dyDescent="0.25">
      <c r="B5" t="s">
        <v>9</v>
      </c>
      <c r="C5" t="s">
        <v>10</v>
      </c>
      <c r="D5" s="5" t="s">
        <v>11</v>
      </c>
      <c r="F5" t="s">
        <v>7</v>
      </c>
    </row>
    <row r="6" spans="1:6" x14ac:dyDescent="0.25">
      <c r="A6" t="s">
        <v>1</v>
      </c>
      <c r="B6" s="1">
        <v>0.1</v>
      </c>
      <c r="C6" s="1">
        <v>0.3</v>
      </c>
      <c r="D6" s="1">
        <v>0.9</v>
      </c>
      <c r="E6">
        <f t="shared" ref="E6:E11" si="0">SUMPRODUCT(B6:D6,B$16:D$16)</f>
        <v>0.48832004116285049</v>
      </c>
    </row>
    <row r="7" spans="1:6" x14ac:dyDescent="0.25">
      <c r="A7" t="s">
        <v>12</v>
      </c>
      <c r="B7" s="2">
        <v>1</v>
      </c>
      <c r="C7" s="2">
        <v>1</v>
      </c>
      <c r="D7" s="2">
        <v>1</v>
      </c>
      <c r="E7">
        <f t="shared" si="0"/>
        <v>1</v>
      </c>
      <c r="F7" s="3">
        <v>1</v>
      </c>
    </row>
    <row r="8" spans="1:6" x14ac:dyDescent="0.25">
      <c r="A8" t="s">
        <v>14</v>
      </c>
      <c r="B8" s="7">
        <v>0.38</v>
      </c>
      <c r="C8" s="7">
        <v>1E-3</v>
      </c>
      <c r="D8" s="7">
        <v>2E-3</v>
      </c>
      <c r="E8">
        <f t="shared" si="0"/>
        <v>1.1999999999999999E-2</v>
      </c>
      <c r="F8" s="3">
        <v>8.0000000000000002E-3</v>
      </c>
    </row>
    <row r="9" spans="1:6" x14ac:dyDescent="0.25">
      <c r="A9" t="s">
        <v>15</v>
      </c>
      <c r="B9" s="7">
        <v>0.38</v>
      </c>
      <c r="C9" s="7">
        <v>1E-3</v>
      </c>
      <c r="D9" s="7">
        <v>2E-3</v>
      </c>
      <c r="E9">
        <f t="shared" si="0"/>
        <v>1.1999999999999999E-2</v>
      </c>
      <c r="F9" s="3">
        <v>1.2E-2</v>
      </c>
    </row>
    <row r="10" spans="1:6" x14ac:dyDescent="0.25">
      <c r="A10" t="s">
        <v>16</v>
      </c>
      <c r="B10" s="6">
        <v>0</v>
      </c>
      <c r="C10" s="6">
        <v>0.09</v>
      </c>
      <c r="D10" s="6">
        <v>0.5</v>
      </c>
      <c r="E10">
        <f t="shared" si="0"/>
        <v>0.21999999999999997</v>
      </c>
      <c r="F10" s="3">
        <v>0.22</v>
      </c>
    </row>
    <row r="11" spans="1:6" x14ac:dyDescent="0.25">
      <c r="A11" t="s">
        <v>17</v>
      </c>
      <c r="B11" s="6">
        <v>0</v>
      </c>
      <c r="C11" s="6">
        <v>0.02</v>
      </c>
      <c r="D11" s="6">
        <v>0.08</v>
      </c>
      <c r="E11">
        <f t="shared" si="0"/>
        <v>3.8832004116285054E-2</v>
      </c>
      <c r="F11" s="3">
        <v>0.05</v>
      </c>
    </row>
    <row r="13" spans="1:6" x14ac:dyDescent="0.25">
      <c r="A13" s="9" t="s">
        <v>2</v>
      </c>
      <c r="B13" s="9"/>
      <c r="C13" s="9"/>
      <c r="D13" s="9"/>
      <c r="E13" s="9"/>
      <c r="F13" s="9"/>
    </row>
    <row r="15" spans="1:6" x14ac:dyDescent="0.25">
      <c r="B15" t="s">
        <v>4</v>
      </c>
      <c r="C15" t="s">
        <v>5</v>
      </c>
      <c r="D15" t="s">
        <v>13</v>
      </c>
      <c r="E15" t="s">
        <v>6</v>
      </c>
    </row>
    <row r="16" spans="1:6" x14ac:dyDescent="0.25">
      <c r="A16" t="s">
        <v>3</v>
      </c>
      <c r="B16" s="4">
        <v>2.8170825829688703E-2</v>
      </c>
      <c r="C16" s="4">
        <v>0.64857216362233094</v>
      </c>
      <c r="D16" s="4">
        <v>0.32325701054798039</v>
      </c>
      <c r="E16" s="4">
        <f>E6</f>
        <v>0.48832004116285049</v>
      </c>
    </row>
  </sheetData>
  <mergeCells count="3">
    <mergeCell ref="A1:F1"/>
    <mergeCell ref="A3:F3"/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ECCC-D04E-4AE6-A6D4-702E7A440CED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" bestFit="1" customWidth="1"/>
    <col min="3" max="3" width="19.28515625" bestFit="1" customWidth="1"/>
    <col min="4" max="4" width="13.7109375" bestFit="1" customWidth="1"/>
    <col min="5" max="5" width="13.140625" bestFit="1" customWidth="1"/>
    <col min="6" max="6" width="11.42578125" bestFit="1" customWidth="1"/>
    <col min="7" max="7" width="12" bestFit="1" customWidth="1"/>
  </cols>
  <sheetData>
    <row r="1" spans="1:5" x14ac:dyDescent="0.25">
      <c r="A1" s="10" t="s">
        <v>18</v>
      </c>
    </row>
    <row r="2" spans="1:5" x14ac:dyDescent="0.25">
      <c r="A2" s="10" t="s">
        <v>76</v>
      </c>
    </row>
    <row r="3" spans="1:5" x14ac:dyDescent="0.25">
      <c r="A3" s="10" t="s">
        <v>77</v>
      </c>
    </row>
    <row r="4" spans="1:5" x14ac:dyDescent="0.25">
      <c r="A4" s="10" t="s">
        <v>21</v>
      </c>
    </row>
    <row r="5" spans="1:5" x14ac:dyDescent="0.25">
      <c r="A5" s="10" t="s">
        <v>22</v>
      </c>
    </row>
    <row r="6" spans="1:5" x14ac:dyDescent="0.25">
      <c r="A6" s="10"/>
      <c r="B6" t="s">
        <v>23</v>
      </c>
    </row>
    <row r="7" spans="1:5" x14ac:dyDescent="0.25">
      <c r="A7" s="10"/>
      <c r="B7" t="s">
        <v>78</v>
      </c>
    </row>
    <row r="8" spans="1:5" x14ac:dyDescent="0.25">
      <c r="A8" s="10"/>
      <c r="B8" t="s">
        <v>79</v>
      </c>
    </row>
    <row r="9" spans="1:5" x14ac:dyDescent="0.25">
      <c r="A9" s="10" t="s">
        <v>26</v>
      </c>
    </row>
    <row r="10" spans="1:5" x14ac:dyDescent="0.25">
      <c r="B10" t="s">
        <v>80</v>
      </c>
    </row>
    <row r="11" spans="1:5" x14ac:dyDescent="0.25">
      <c r="B11" t="s">
        <v>28</v>
      </c>
    </row>
    <row r="14" spans="1:5" ht="15.75" thickBot="1" x14ac:dyDescent="0.3">
      <c r="A14" t="s">
        <v>29</v>
      </c>
    </row>
    <row r="15" spans="1:5" ht="15.75" thickBot="1" x14ac:dyDescent="0.3">
      <c r="B15" s="12" t="s">
        <v>30</v>
      </c>
      <c r="C15" s="12" t="s">
        <v>31</v>
      </c>
      <c r="D15" s="12" t="s">
        <v>32</v>
      </c>
      <c r="E15" s="12" t="s">
        <v>33</v>
      </c>
    </row>
    <row r="16" spans="1:5" ht="15.75" thickBot="1" x14ac:dyDescent="0.3">
      <c r="B16" s="11" t="s">
        <v>41</v>
      </c>
      <c r="C16" s="11" t="s">
        <v>42</v>
      </c>
      <c r="D16" s="14">
        <v>0.75249999999999984</v>
      </c>
      <c r="E16" s="14">
        <v>4.883200411628505</v>
      </c>
    </row>
    <row r="19" spans="1:7" ht="15.75" thickBot="1" x14ac:dyDescent="0.3">
      <c r="A19" t="s">
        <v>34</v>
      </c>
    </row>
    <row r="20" spans="1:7" ht="15.75" thickBot="1" x14ac:dyDescent="0.3">
      <c r="B20" s="12" t="s">
        <v>30</v>
      </c>
      <c r="C20" s="12" t="s">
        <v>31</v>
      </c>
      <c r="D20" s="12" t="s">
        <v>32</v>
      </c>
      <c r="E20" s="12" t="s">
        <v>33</v>
      </c>
      <c r="F20" s="12" t="s">
        <v>35</v>
      </c>
    </row>
    <row r="21" spans="1:7" x14ac:dyDescent="0.25">
      <c r="B21" s="13" t="s">
        <v>43</v>
      </c>
      <c r="C21" s="13" t="s">
        <v>44</v>
      </c>
      <c r="D21" s="15">
        <v>2.4999999999999994E-2</v>
      </c>
      <c r="E21" s="15">
        <v>0.28170825829688706</v>
      </c>
      <c r="F21" s="13" t="s">
        <v>45</v>
      </c>
    </row>
    <row r="22" spans="1:7" x14ac:dyDescent="0.25">
      <c r="B22" s="13" t="s">
        <v>46</v>
      </c>
      <c r="C22" s="13" t="s">
        <v>47</v>
      </c>
      <c r="D22" s="15">
        <v>2.4999999999999996</v>
      </c>
      <c r="E22" s="15">
        <v>6.4857216362233077</v>
      </c>
      <c r="F22" s="13" t="s">
        <v>45</v>
      </c>
    </row>
    <row r="23" spans="1:7" ht="15.75" thickBot="1" x14ac:dyDescent="0.3">
      <c r="B23" s="11" t="s">
        <v>48</v>
      </c>
      <c r="C23" s="11" t="s">
        <v>49</v>
      </c>
      <c r="D23" s="14">
        <v>0</v>
      </c>
      <c r="E23" s="14">
        <v>3.2325701054798048</v>
      </c>
      <c r="F23" s="11" t="s">
        <v>45</v>
      </c>
    </row>
    <row r="26" spans="1:7" ht="15.75" thickBot="1" x14ac:dyDescent="0.3">
      <c r="A26" t="s">
        <v>36</v>
      </c>
    </row>
    <row r="27" spans="1:7" ht="15.75" thickBot="1" x14ac:dyDescent="0.3">
      <c r="B27" s="12" t="s">
        <v>30</v>
      </c>
      <c r="C27" s="12" t="s">
        <v>31</v>
      </c>
      <c r="D27" s="12" t="s">
        <v>37</v>
      </c>
      <c r="E27" s="12" t="s">
        <v>38</v>
      </c>
      <c r="F27" s="12" t="s">
        <v>39</v>
      </c>
      <c r="G27" s="12" t="s">
        <v>40</v>
      </c>
    </row>
    <row r="28" spans="1:7" x14ac:dyDescent="0.25">
      <c r="B28" s="13" t="s">
        <v>50</v>
      </c>
      <c r="C28" s="13" t="s">
        <v>16</v>
      </c>
      <c r="D28" s="15">
        <v>2.2000000000000002</v>
      </c>
      <c r="E28" s="13" t="s">
        <v>51</v>
      </c>
      <c r="F28" s="13" t="s">
        <v>52</v>
      </c>
      <c r="G28" s="15">
        <v>0</v>
      </c>
    </row>
    <row r="29" spans="1:7" x14ac:dyDescent="0.25">
      <c r="B29" s="13" t="s">
        <v>53</v>
      </c>
      <c r="C29" s="13" t="s">
        <v>17</v>
      </c>
      <c r="D29" s="15">
        <v>0.38832004116285052</v>
      </c>
      <c r="E29" s="13" t="s">
        <v>54</v>
      </c>
      <c r="F29" s="13" t="s">
        <v>55</v>
      </c>
      <c r="G29" s="13">
        <v>0.11167995883714948</v>
      </c>
    </row>
    <row r="30" spans="1:7" x14ac:dyDescent="0.25">
      <c r="B30" s="13" t="s">
        <v>56</v>
      </c>
      <c r="C30" s="13" t="s">
        <v>12</v>
      </c>
      <c r="D30" s="15">
        <v>10</v>
      </c>
      <c r="E30" s="13" t="s">
        <v>57</v>
      </c>
      <c r="F30" s="13" t="s">
        <v>52</v>
      </c>
      <c r="G30" s="13">
        <v>0</v>
      </c>
    </row>
    <row r="31" spans="1:7" x14ac:dyDescent="0.25">
      <c r="B31" s="13" t="s">
        <v>58</v>
      </c>
      <c r="C31" s="13" t="s">
        <v>14</v>
      </c>
      <c r="D31" s="15">
        <v>0.12</v>
      </c>
      <c r="E31" s="13" t="s">
        <v>59</v>
      </c>
      <c r="F31" s="13" t="s">
        <v>55</v>
      </c>
      <c r="G31" s="15">
        <v>3.9999999999999994E-2</v>
      </c>
    </row>
    <row r="32" spans="1:7" ht="15.75" thickBot="1" x14ac:dyDescent="0.3">
      <c r="B32" s="11" t="s">
        <v>60</v>
      </c>
      <c r="C32" s="11" t="s">
        <v>15</v>
      </c>
      <c r="D32" s="14">
        <v>0.12</v>
      </c>
      <c r="E32" s="11" t="s">
        <v>61</v>
      </c>
      <c r="F32" s="11" t="s">
        <v>52</v>
      </c>
      <c r="G32" s="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EA85-0B18-4051-A029-85D4CE38742B}">
  <dimension ref="A1:H20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4.85546875" bestFit="1" customWidth="1"/>
    <col min="4" max="4" width="12" bestFit="1" customWidth="1"/>
    <col min="5" max="5" width="12.7109375" bestFit="1" customWidth="1"/>
    <col min="6" max="6" width="10.85546875" bestFit="1" customWidth="1"/>
    <col min="7" max="8" width="12" bestFit="1" customWidth="1"/>
  </cols>
  <sheetData>
    <row r="1" spans="1:8" x14ac:dyDescent="0.25">
      <c r="A1" s="10" t="s">
        <v>62</v>
      </c>
    </row>
    <row r="2" spans="1:8" x14ac:dyDescent="0.25">
      <c r="A2" s="10" t="s">
        <v>76</v>
      </c>
    </row>
    <row r="3" spans="1:8" x14ac:dyDescent="0.25">
      <c r="A3" s="10" t="s">
        <v>77</v>
      </c>
    </row>
    <row r="6" spans="1:8" ht="15.75" thickBot="1" x14ac:dyDescent="0.3">
      <c r="A6" t="s">
        <v>34</v>
      </c>
    </row>
    <row r="7" spans="1:8" x14ac:dyDescent="0.25">
      <c r="B7" s="16"/>
      <c r="C7" s="16"/>
      <c r="D7" s="16" t="s">
        <v>63</v>
      </c>
      <c r="E7" s="16" t="s">
        <v>65</v>
      </c>
      <c r="F7" s="16" t="s">
        <v>67</v>
      </c>
      <c r="G7" s="16" t="s">
        <v>69</v>
      </c>
      <c r="H7" s="16" t="s">
        <v>69</v>
      </c>
    </row>
    <row r="8" spans="1:8" ht="15.75" thickBot="1" x14ac:dyDescent="0.3">
      <c r="B8" s="17" t="s">
        <v>30</v>
      </c>
      <c r="C8" s="17" t="s">
        <v>31</v>
      </c>
      <c r="D8" s="17" t="s">
        <v>64</v>
      </c>
      <c r="E8" s="17" t="s">
        <v>66</v>
      </c>
      <c r="F8" s="17" t="s">
        <v>68</v>
      </c>
      <c r="G8" s="17" t="s">
        <v>70</v>
      </c>
      <c r="H8" s="17" t="s">
        <v>71</v>
      </c>
    </row>
    <row r="9" spans="1:8" x14ac:dyDescent="0.25">
      <c r="B9" s="13" t="s">
        <v>43</v>
      </c>
      <c r="C9" s="13" t="s">
        <v>44</v>
      </c>
      <c r="D9" s="13">
        <v>0.28170825829688706</v>
      </c>
      <c r="E9" s="13">
        <v>0</v>
      </c>
      <c r="F9" s="13">
        <v>0.1</v>
      </c>
      <c r="G9" s="13">
        <v>6.8292682926829343E-2</v>
      </c>
      <c r="H9" s="13">
        <v>1E+30</v>
      </c>
    </row>
    <row r="10" spans="1:8" x14ac:dyDescent="0.25">
      <c r="B10" s="13" t="s">
        <v>46</v>
      </c>
      <c r="C10" s="13" t="s">
        <v>47</v>
      </c>
      <c r="D10" s="13">
        <v>6.4857216362233077</v>
      </c>
      <c r="E10" s="13">
        <v>0</v>
      </c>
      <c r="F10" s="13">
        <v>0.30000000000000004</v>
      </c>
      <c r="G10" s="13">
        <v>0.60211640211640205</v>
      </c>
      <c r="H10" s="13">
        <v>5.6000000000000057E-2</v>
      </c>
    </row>
    <row r="11" spans="1:8" ht="15.75" thickBot="1" x14ac:dyDescent="0.3">
      <c r="B11" s="11" t="s">
        <v>48</v>
      </c>
      <c r="C11" s="11" t="s">
        <v>49</v>
      </c>
      <c r="D11" s="11">
        <v>3.2325701054798048</v>
      </c>
      <c r="E11" s="11">
        <v>0</v>
      </c>
      <c r="F11" s="11">
        <v>0.9</v>
      </c>
      <c r="G11" s="11">
        <v>0.31111111111111145</v>
      </c>
      <c r="H11" s="11">
        <v>0.60052770448548798</v>
      </c>
    </row>
    <row r="13" spans="1:8" ht="15.75" thickBot="1" x14ac:dyDescent="0.3">
      <c r="A13" t="s">
        <v>36</v>
      </c>
    </row>
    <row r="14" spans="1:8" x14ac:dyDescent="0.25">
      <c r="B14" s="16"/>
      <c r="C14" s="16"/>
      <c r="D14" s="16" t="s">
        <v>63</v>
      </c>
      <c r="E14" s="16" t="s">
        <v>72</v>
      </c>
      <c r="F14" s="16" t="s">
        <v>74</v>
      </c>
      <c r="G14" s="16" t="s">
        <v>69</v>
      </c>
      <c r="H14" s="16" t="s">
        <v>69</v>
      </c>
    </row>
    <row r="15" spans="1:8" ht="15.75" thickBot="1" x14ac:dyDescent="0.3">
      <c r="B15" s="17" t="s">
        <v>30</v>
      </c>
      <c r="C15" s="17" t="s">
        <v>31</v>
      </c>
      <c r="D15" s="17" t="s">
        <v>64</v>
      </c>
      <c r="E15" s="17" t="s">
        <v>73</v>
      </c>
      <c r="F15" s="17" t="s">
        <v>75</v>
      </c>
      <c r="G15" s="17" t="s">
        <v>70</v>
      </c>
      <c r="H15" s="17" t="s">
        <v>71</v>
      </c>
    </row>
    <row r="16" spans="1:8" x14ac:dyDescent="0.25">
      <c r="B16" s="13" t="s">
        <v>50</v>
      </c>
      <c r="C16" s="13" t="s">
        <v>16</v>
      </c>
      <c r="D16" s="13">
        <v>2.2000000000000002</v>
      </c>
      <c r="E16" s="13">
        <v>1.4638538718806275</v>
      </c>
      <c r="F16" s="13">
        <v>2.2000000000000002</v>
      </c>
      <c r="G16" s="13">
        <v>0.76291739894551824</v>
      </c>
      <c r="H16" s="13">
        <v>1.3261213720316625</v>
      </c>
    </row>
    <row r="17" spans="2:8" x14ac:dyDescent="0.25">
      <c r="B17" s="13" t="s">
        <v>53</v>
      </c>
      <c r="C17" s="13" t="s">
        <v>17</v>
      </c>
      <c r="D17" s="13">
        <v>0.38832004116285052</v>
      </c>
      <c r="E17" s="13">
        <v>0</v>
      </c>
      <c r="F17" s="13">
        <v>0.5</v>
      </c>
      <c r="G17" s="13">
        <v>1E+30</v>
      </c>
      <c r="H17" s="13">
        <v>0.11167995883714943</v>
      </c>
    </row>
    <row r="18" spans="2:8" x14ac:dyDescent="0.25">
      <c r="B18" s="13" t="s">
        <v>56</v>
      </c>
      <c r="C18" s="13" t="s">
        <v>12</v>
      </c>
      <c r="D18" s="13">
        <v>10</v>
      </c>
      <c r="E18" s="13">
        <v>0.16843323900180096</v>
      </c>
      <c r="F18" s="13">
        <v>10</v>
      </c>
      <c r="G18" s="13">
        <v>14.69590643274854</v>
      </c>
      <c r="H18" s="13">
        <v>5.3073684210526304</v>
      </c>
    </row>
    <row r="19" spans="2:8" x14ac:dyDescent="0.25">
      <c r="B19" s="13" t="s">
        <v>58</v>
      </c>
      <c r="C19" s="13" t="s">
        <v>14</v>
      </c>
      <c r="D19" s="13">
        <v>0.12</v>
      </c>
      <c r="E19" s="13">
        <v>0</v>
      </c>
      <c r="F19" s="13">
        <v>0.08</v>
      </c>
      <c r="G19" s="13">
        <v>3.9999999999999994E-2</v>
      </c>
      <c r="H19" s="13">
        <v>1E+30</v>
      </c>
    </row>
    <row r="20" spans="2:8" ht="15.75" thickBot="1" x14ac:dyDescent="0.3">
      <c r="B20" s="11" t="s">
        <v>60</v>
      </c>
      <c r="C20" s="11" t="s">
        <v>15</v>
      </c>
      <c r="D20" s="11">
        <v>0.12</v>
      </c>
      <c r="E20" s="11">
        <v>-0.18008747105737094</v>
      </c>
      <c r="F20" s="11">
        <v>0.12</v>
      </c>
      <c r="G20" s="11">
        <v>2.0167999999999995</v>
      </c>
      <c r="H20" s="11">
        <v>3.9999999999999994E-2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6399-4095-4746-943C-1582CF225096}">
  <dimension ref="A1:F16"/>
  <sheetViews>
    <sheetView zoomScale="175" zoomScaleNormal="175" workbookViewId="0">
      <selection activeCell="H9" sqref="H9"/>
    </sheetView>
  </sheetViews>
  <sheetFormatPr defaultRowHeight="15" x14ac:dyDescent="0.25"/>
  <cols>
    <col min="1" max="1" width="17.28515625" customWidth="1"/>
    <col min="6" max="6" width="13.28515625" customWidth="1"/>
  </cols>
  <sheetData>
    <row r="1" spans="1:6" x14ac:dyDescent="0.25">
      <c r="A1" s="8" t="s">
        <v>8</v>
      </c>
      <c r="B1" s="8"/>
      <c r="C1" s="8"/>
      <c r="D1" s="8"/>
      <c r="E1" s="8"/>
      <c r="F1" s="8"/>
    </row>
    <row r="3" spans="1:6" x14ac:dyDescent="0.25">
      <c r="A3" s="9" t="s">
        <v>0</v>
      </c>
      <c r="B3" s="9"/>
      <c r="C3" s="9"/>
      <c r="D3" s="9"/>
      <c r="E3" s="9"/>
      <c r="F3" s="9"/>
    </row>
    <row r="5" spans="1:6" x14ac:dyDescent="0.25">
      <c r="B5" t="s">
        <v>9</v>
      </c>
      <c r="C5" t="s">
        <v>10</v>
      </c>
      <c r="D5" s="5" t="s">
        <v>11</v>
      </c>
      <c r="F5" t="s">
        <v>7</v>
      </c>
    </row>
    <row r="6" spans="1:6" x14ac:dyDescent="0.25">
      <c r="A6" t="s">
        <v>1</v>
      </c>
      <c r="B6" s="1">
        <v>0.1</v>
      </c>
      <c r="C6" s="1">
        <v>0.3</v>
      </c>
      <c r="D6" s="1">
        <v>0.9</v>
      </c>
      <c r="E6">
        <f t="shared" ref="E6:E11" si="0">SUMPRODUCT(B6:D6,B$16:D$16)</f>
        <v>4.883200411628505</v>
      </c>
    </row>
    <row r="7" spans="1:6" x14ac:dyDescent="0.25">
      <c r="A7" t="s">
        <v>12</v>
      </c>
      <c r="B7" s="2">
        <v>1</v>
      </c>
      <c r="C7" s="2">
        <v>1</v>
      </c>
      <c r="D7" s="2">
        <v>1</v>
      </c>
      <c r="E7">
        <f t="shared" si="0"/>
        <v>10</v>
      </c>
      <c r="F7" s="3">
        <v>10</v>
      </c>
    </row>
    <row r="8" spans="1:6" x14ac:dyDescent="0.25">
      <c r="A8" t="s">
        <v>14</v>
      </c>
      <c r="B8" s="7">
        <v>0.38</v>
      </c>
      <c r="C8" s="7">
        <v>1E-3</v>
      </c>
      <c r="D8" s="7">
        <v>2E-3</v>
      </c>
      <c r="E8">
        <f t="shared" si="0"/>
        <v>0.12</v>
      </c>
      <c r="F8" s="3">
        <v>0.08</v>
      </c>
    </row>
    <row r="9" spans="1:6" x14ac:dyDescent="0.25">
      <c r="A9" t="s">
        <v>15</v>
      </c>
      <c r="B9" s="7">
        <v>0.38</v>
      </c>
      <c r="C9" s="7">
        <v>1E-3</v>
      </c>
      <c r="D9" s="7">
        <v>2E-3</v>
      </c>
      <c r="E9">
        <f t="shared" si="0"/>
        <v>0.12</v>
      </c>
      <c r="F9" s="3">
        <v>0.12</v>
      </c>
    </row>
    <row r="10" spans="1:6" x14ac:dyDescent="0.25">
      <c r="A10" t="s">
        <v>16</v>
      </c>
      <c r="B10" s="6">
        <v>0</v>
      </c>
      <c r="C10" s="6">
        <v>0.09</v>
      </c>
      <c r="D10" s="6">
        <v>0.5</v>
      </c>
      <c r="E10">
        <f t="shared" si="0"/>
        <v>2.2000000000000002</v>
      </c>
      <c r="F10" s="3">
        <v>2.2000000000000002</v>
      </c>
    </row>
    <row r="11" spans="1:6" x14ac:dyDescent="0.25">
      <c r="A11" t="s">
        <v>17</v>
      </c>
      <c r="B11" s="6">
        <v>0</v>
      </c>
      <c r="C11" s="6">
        <v>0.02</v>
      </c>
      <c r="D11" s="6">
        <v>0.08</v>
      </c>
      <c r="E11">
        <f t="shared" si="0"/>
        <v>0.38832004116285052</v>
      </c>
      <c r="F11" s="3">
        <v>0.5</v>
      </c>
    </row>
    <row r="13" spans="1:6" x14ac:dyDescent="0.25">
      <c r="A13" s="9" t="s">
        <v>2</v>
      </c>
      <c r="B13" s="9"/>
      <c r="C13" s="9"/>
      <c r="D13" s="9"/>
      <c r="E13" s="9"/>
      <c r="F13" s="9"/>
    </row>
    <row r="15" spans="1:6" x14ac:dyDescent="0.25">
      <c r="B15" t="s">
        <v>4</v>
      </c>
      <c r="C15" t="s">
        <v>5</v>
      </c>
      <c r="D15" t="s">
        <v>13</v>
      </c>
      <c r="E15" t="s">
        <v>6</v>
      </c>
    </row>
    <row r="16" spans="1:6" x14ac:dyDescent="0.25">
      <c r="A16" t="s">
        <v>3</v>
      </c>
      <c r="B16" s="4">
        <v>0.28170825829688706</v>
      </c>
      <c r="C16" s="4">
        <v>6.4857216362233077</v>
      </c>
      <c r="D16" s="4">
        <v>3.2325701054798048</v>
      </c>
      <c r="E16" s="4">
        <f>E6</f>
        <v>4.883200411628505</v>
      </c>
    </row>
  </sheetData>
  <mergeCells count="3">
    <mergeCell ref="A1:F1"/>
    <mergeCell ref="A3:F3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Answer Report 1</vt:lpstr>
      <vt:lpstr>Sensitivity Report 1</vt:lpstr>
      <vt:lpstr>1 кг</vt:lpstr>
      <vt:lpstr>Answer Report 2</vt:lpstr>
      <vt:lpstr>Sensitivity Report 2</vt:lpstr>
      <vt:lpstr>10 кг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2026-01-30T10:55:28Z</dcterms:modified>
</cp:coreProperties>
</file>