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1\"/>
    </mc:Choice>
  </mc:AlternateContent>
  <xr:revisionPtr revIDLastSave="0" documentId="13_ncr:1_{0C07B530-4650-429D-87A5-21E945085E2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Answer Report 1" sheetId="2" r:id="rId1"/>
    <sheet name="Sensitivity Report 1" sheetId="3" r:id="rId2"/>
    <sheet name="Sheet1" sheetId="1" r:id="rId3"/>
  </sheets>
  <definedNames>
    <definedName name="solver_adj" localSheetId="2" hidden="1">Sheet1!$B$15:$C$15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Sheet1!$D$7:$D$10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Sheet1!$D$15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hs1" localSheetId="2" hidden="1">Sheet1!$E$7:$E$10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6" i="1"/>
  <c r="D15" i="1" s="1"/>
</calcChain>
</file>

<file path=xl/sharedStrings.xml><?xml version="1.0" encoding="utf-8"?>
<sst xmlns="http://schemas.openxmlformats.org/spreadsheetml/2006/main" count="109" uniqueCount="69">
  <si>
    <t>Модел на фабриката за бои</t>
  </si>
  <si>
    <t>Начални данни</t>
  </si>
  <si>
    <t>Боя за
външно
боядисване</t>
  </si>
  <si>
    <t>Боя за
вътрешно
боядисване</t>
  </si>
  <si>
    <t>Целева функция</t>
  </si>
  <si>
    <t>Ограничение С1</t>
  </si>
  <si>
    <t>Ограничение С2</t>
  </si>
  <si>
    <t>Ограничение М1</t>
  </si>
  <si>
    <t>Ограничение М2</t>
  </si>
  <si>
    <t>Десни страни на
ограниченията</t>
  </si>
  <si>
    <t>Крайни резултати</t>
  </si>
  <si>
    <t>Решение:</t>
  </si>
  <si>
    <t>х1</t>
  </si>
  <si>
    <t>х2</t>
  </si>
  <si>
    <t>Оптимална
стойност</t>
  </si>
  <si>
    <t>Microsoft Excel 16.0 Answer Report</t>
  </si>
  <si>
    <t>Worksheet: [Prodmix_sol.xlsx]Sheet1</t>
  </si>
  <si>
    <t>Report Created: 29.1.2026 г. 14:47:04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</si>
  <si>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</si>
  <si>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</si>
  <si>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</si>
  <si>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</si>
  <si>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2 Subproblems: 0</t>
  </si>
  <si>
    <t>Solver Options</t>
  </si>
  <si>
    <t>Max Time Unlimited,  Iterations Unlimited, Precision 0,000001,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</si>
  <si>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</si>
  <si>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</si>
  <si>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</si>
  <si>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</si>
  <si>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</si>
  <si>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</si>
  <si>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</si>
  <si>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</si>
  <si>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</si>
  <si>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</si>
  <si>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</si>
  <si>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</si>
  <si>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</si>
  <si>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$D$15</t>
  </si>
  <si>
    <t>Решение: Оптимална
стойност</t>
  </si>
  <si>
    <t>$B$15</t>
  </si>
  <si>
    <t>Решение: х1</t>
  </si>
  <si>
    <t>Contin</t>
  </si>
  <si>
    <t>$C$15</t>
  </si>
  <si>
    <t>Решение: х2</t>
  </si>
  <si>
    <t>$D$7</t>
  </si>
  <si>
    <t>$D$7&lt;=$E$7</t>
  </si>
  <si>
    <t>Binding</t>
  </si>
  <si>
    <t>$D$8</t>
  </si>
  <si>
    <t>$D$8&lt;=$E$8</t>
  </si>
  <si>
    <t>$D$9</t>
  </si>
  <si>
    <t>$D$9&lt;=$E$9</t>
  </si>
  <si>
    <t>Not Binding</t>
  </si>
  <si>
    <t>$D$10</t>
  </si>
  <si>
    <t>$D$10&lt;=$E$10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</si>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</sst>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0" fillId="0" borderId="5" xfId="0" applyBorder="1"/>
    <xf numFmtId="0" fontId="2" fillId="0" borderId="4" xfId="0" applyFont="1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59B6-4CA0-4B83-9706-864618985287}">
  <dimension ref="A1:G30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16.42578125" bestFit="1" customWidth="1"/>
    <col min="4" max="4" width="13.7109375" bestFit="1" customWidth="1"/>
    <col min="5" max="5" width="13.42578125" bestFit="1" customWidth="1"/>
    <col min="6" max="6" width="11.42578125" bestFit="1" customWidth="1"/>
    <col min="7" max="7" width="5.42578125" bestFit="1" customWidth="1"/>
  </cols>
  <sheetData>
    <row r="1" spans="1:5" x14ac:dyDescent="0.25">
      <c r="A1" s="6" t="s">
        <v>15</v>
      </c>
    </row>
    <row r="2" spans="1:5" x14ac:dyDescent="0.25">
      <c r="A2" s="6" t="s">
        <v>16</v>
      </c>
    </row>
    <row r="3" spans="1:5" x14ac:dyDescent="0.25">
      <c r="A3" s="6" t="s">
        <v>17</v>
      </c>
    </row>
    <row r="4" spans="1:5" x14ac:dyDescent="0.25">
      <c r="A4" s="6" t="s">
        <v>18</v>
      </c>
    </row>
    <row r="5" spans="1:5" x14ac:dyDescent="0.25">
      <c r="A5" s="6" t="s">
        <v>19</v>
      </c>
    </row>
    <row r="6" spans="1:5" x14ac:dyDescent="0.25">
      <c r="A6" s="6"/>
      <c r="B6" t="s">
        <v>20</v>
      </c>
    </row>
    <row r="7" spans="1:5" x14ac:dyDescent="0.25">
      <c r="A7" s="6"/>
      <c r="B7" t="s">
        <v>21</v>
      </c>
    </row>
    <row r="8" spans="1:5" x14ac:dyDescent="0.25">
      <c r="A8" s="6"/>
      <c r="B8" t="s">
        <v>22</v>
      </c>
    </row>
    <row r="9" spans="1:5" x14ac:dyDescent="0.25">
      <c r="A9" s="6" t="s">
        <v>23</v>
      </c>
    </row>
    <row r="10" spans="1:5" x14ac:dyDescent="0.25">
      <c r="B10" t="s">
        <v>24</v>
      </c>
    </row>
    <row r="11" spans="1:5" x14ac:dyDescent="0.25">
      <c r="B11" t="s">
        <v>25</v>
      </c>
    </row>
    <row r="14" spans="1:5" ht="15.75" thickBot="1" x14ac:dyDescent="0.3">
      <c r="A14" t="s">
        <v>26</v>
      </c>
    </row>
    <row r="15" spans="1:5" ht="15.75" thickBot="1" x14ac:dyDescent="0.3">
      <c r="B15" s="8" t="s">
        <v>27</v>
      </c>
      <c r="C15" s="8" t="s">
        <v>28</v>
      </c>
      <c r="D15" s="8" t="s">
        <v>29</v>
      </c>
      <c r="E15" s="8" t="s">
        <v>30</v>
      </c>
    </row>
    <row r="16" spans="1:5" ht="45.75" thickBot="1" x14ac:dyDescent="0.3">
      <c r="B16" s="7" t="s">
        <v>38</v>
      </c>
      <c r="C16" s="10" t="s">
        <v>39</v>
      </c>
      <c r="D16" s="7">
        <v>0</v>
      </c>
      <c r="E16" s="7">
        <v>21</v>
      </c>
    </row>
    <row r="19" spans="1:7" ht="15.75" thickBot="1" x14ac:dyDescent="0.3">
      <c r="A19" t="s">
        <v>31</v>
      </c>
    </row>
    <row r="20" spans="1:7" ht="15.75" thickBot="1" x14ac:dyDescent="0.3">
      <c r="B20" s="8" t="s">
        <v>27</v>
      </c>
      <c r="C20" s="8" t="s">
        <v>28</v>
      </c>
      <c r="D20" s="8" t="s">
        <v>29</v>
      </c>
      <c r="E20" s="8" t="s">
        <v>30</v>
      </c>
      <c r="F20" s="8" t="s">
        <v>32</v>
      </c>
    </row>
    <row r="21" spans="1:7" x14ac:dyDescent="0.25">
      <c r="B21" s="9" t="s">
        <v>40</v>
      </c>
      <c r="C21" s="9" t="s">
        <v>41</v>
      </c>
      <c r="D21" s="9">
        <v>0</v>
      </c>
      <c r="E21" s="9">
        <v>3</v>
      </c>
      <c r="F21" s="9" t="s">
        <v>42</v>
      </c>
    </row>
    <row r="22" spans="1:7" ht="15.75" thickBot="1" x14ac:dyDescent="0.3">
      <c r="B22" s="7" t="s">
        <v>43</v>
      </c>
      <c r="C22" s="7" t="s">
        <v>44</v>
      </c>
      <c r="D22" s="7">
        <v>0</v>
      </c>
      <c r="E22" s="7">
        <v>1.4999999999999998</v>
      </c>
      <c r="F22" s="7" t="s">
        <v>42</v>
      </c>
    </row>
    <row r="25" spans="1:7" ht="15.75" thickBot="1" x14ac:dyDescent="0.3">
      <c r="A25" t="s">
        <v>33</v>
      </c>
    </row>
    <row r="26" spans="1:7" ht="15.75" thickBot="1" x14ac:dyDescent="0.3">
      <c r="B26" s="8" t="s">
        <v>27</v>
      </c>
      <c r="C26" s="8" t="s">
        <v>28</v>
      </c>
      <c r="D26" s="8" t="s">
        <v>34</v>
      </c>
      <c r="E26" s="8" t="s">
        <v>35</v>
      </c>
      <c r="F26" s="8" t="s">
        <v>36</v>
      </c>
      <c r="G26" s="8" t="s">
        <v>37</v>
      </c>
    </row>
    <row r="27" spans="1:7" x14ac:dyDescent="0.25">
      <c r="B27" s="9" t="s">
        <v>45</v>
      </c>
      <c r="C27" s="9" t="s">
        <v>5</v>
      </c>
      <c r="D27" s="9">
        <v>24</v>
      </c>
      <c r="E27" s="9" t="s">
        <v>46</v>
      </c>
      <c r="F27" s="9" t="s">
        <v>47</v>
      </c>
      <c r="G27" s="9">
        <v>0</v>
      </c>
    </row>
    <row r="28" spans="1:7" x14ac:dyDescent="0.25">
      <c r="B28" s="9" t="s">
        <v>48</v>
      </c>
      <c r="C28" s="9" t="s">
        <v>6</v>
      </c>
      <c r="D28" s="9">
        <v>6</v>
      </c>
      <c r="E28" s="9" t="s">
        <v>49</v>
      </c>
      <c r="F28" s="9" t="s">
        <v>47</v>
      </c>
      <c r="G28" s="9">
        <v>0</v>
      </c>
    </row>
    <row r="29" spans="1:7" x14ac:dyDescent="0.25">
      <c r="B29" s="9" t="s">
        <v>50</v>
      </c>
      <c r="C29" s="9" t="s">
        <v>7</v>
      </c>
      <c r="D29" s="9">
        <v>-1.5000000000000002</v>
      </c>
      <c r="E29" s="9" t="s">
        <v>51</v>
      </c>
      <c r="F29" s="9" t="s">
        <v>52</v>
      </c>
      <c r="G29" s="9">
        <v>2.5</v>
      </c>
    </row>
    <row r="30" spans="1:7" ht="15.75" thickBot="1" x14ac:dyDescent="0.3">
      <c r="B30" s="7" t="s">
        <v>53</v>
      </c>
      <c r="C30" s="7" t="s">
        <v>8</v>
      </c>
      <c r="D30" s="7">
        <v>1.4999999999999998</v>
      </c>
      <c r="E30" s="7" t="s">
        <v>54</v>
      </c>
      <c r="F30" s="7" t="s">
        <v>52</v>
      </c>
      <c r="G30" s="7">
        <v>0.50000000000000022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751B-66AD-4B46-9DE7-B93DA5762F99}">
  <dimension ref="A1:H18"/>
  <sheetViews>
    <sheetView showGridLines="0" workbookViewId="0">
      <selection activeCell="Q21" sqref="Q21"/>
    </sheetView>
  </sheetViews>
  <sheetFormatPr defaultRowHeight="15" x14ac:dyDescent="0.25"/>
  <cols>
    <col min="1" max="1" width="2.28515625" customWidth="1"/>
    <col min="2" max="2" width="6.28515625" bestFit="1" customWidth="1"/>
    <col min="3" max="3" width="16.42578125" bestFit="1" customWidth="1"/>
    <col min="4" max="4" width="6.140625" bestFit="1" customWidth="1"/>
    <col min="5" max="5" width="8.7109375" bestFit="1" customWidth="1"/>
    <col min="6" max="6" width="10.85546875" bestFit="1" customWidth="1"/>
    <col min="7" max="8" width="12" bestFit="1" customWidth="1"/>
  </cols>
  <sheetData>
    <row r="1" spans="1:8" x14ac:dyDescent="0.25">
      <c r="A1" s="6" t="s">
        <v>55</v>
      </c>
    </row>
    <row r="2" spans="1:8" x14ac:dyDescent="0.25">
      <c r="A2" s="6" t="s">
        <v>16</v>
      </c>
    </row>
    <row r="3" spans="1:8" x14ac:dyDescent="0.25">
      <c r="A3" s="6" t="s">
        <v>17</v>
      </c>
    </row>
    <row r="6" spans="1:8" ht="15.75" thickBot="1" x14ac:dyDescent="0.3">
      <c r="A6" t="s">
        <v>31</v>
      </c>
    </row>
    <row r="7" spans="1:8" x14ac:dyDescent="0.25">
      <c r="B7" s="11"/>
      <c r="C7" s="11"/>
      <c r="D7" s="11" t="s">
        <v>56</v>
      </c>
      <c r="E7" s="11" t="s">
        <v>58</v>
      </c>
      <c r="F7" s="11" t="s">
        <v>60</v>
      </c>
      <c r="G7" s="11" t="s">
        <v>62</v>
      </c>
      <c r="H7" s="11" t="s">
        <v>62</v>
      </c>
    </row>
    <row r="8" spans="1:8" ht="15.75" thickBot="1" x14ac:dyDescent="0.3">
      <c r="B8" s="12" t="s">
        <v>27</v>
      </c>
      <c r="C8" s="12" t="s">
        <v>28</v>
      </c>
      <c r="D8" s="12" t="s">
        <v>57</v>
      </c>
      <c r="E8" s="12" t="s">
        <v>59</v>
      </c>
      <c r="F8" s="12" t="s">
        <v>61</v>
      </c>
      <c r="G8" s="12" t="s">
        <v>63</v>
      </c>
      <c r="H8" s="12" t="s">
        <v>64</v>
      </c>
    </row>
    <row r="9" spans="1:8" x14ac:dyDescent="0.25">
      <c r="B9" s="9" t="s">
        <v>40</v>
      </c>
      <c r="C9" s="9" t="s">
        <v>41</v>
      </c>
      <c r="D9" s="9">
        <v>3</v>
      </c>
      <c r="E9" s="9">
        <v>0</v>
      </c>
      <c r="F9" s="9">
        <v>5</v>
      </c>
      <c r="G9" s="9">
        <v>1.0000000000000004</v>
      </c>
      <c r="H9" s="9">
        <v>3</v>
      </c>
    </row>
    <row r="10" spans="1:8" ht="15.75" thickBot="1" x14ac:dyDescent="0.3">
      <c r="B10" s="7" t="s">
        <v>43</v>
      </c>
      <c r="C10" s="7" t="s">
        <v>44</v>
      </c>
      <c r="D10" s="7">
        <v>1.4999999999999998</v>
      </c>
      <c r="E10" s="7">
        <v>0</v>
      </c>
      <c r="F10" s="7">
        <v>4</v>
      </c>
      <c r="G10" s="7">
        <v>6.0000000000000009</v>
      </c>
      <c r="H10" s="7">
        <v>0.66666666666666696</v>
      </c>
    </row>
    <row r="12" spans="1:8" ht="15.75" thickBot="1" x14ac:dyDescent="0.3">
      <c r="A12" t="s">
        <v>33</v>
      </c>
    </row>
    <row r="13" spans="1:8" x14ac:dyDescent="0.25">
      <c r="B13" s="11"/>
      <c r="C13" s="11"/>
      <c r="D13" s="11" t="s">
        <v>56</v>
      </c>
      <c r="E13" s="11" t="s">
        <v>65</v>
      </c>
      <c r="F13" s="11" t="s">
        <v>67</v>
      </c>
      <c r="G13" s="11" t="s">
        <v>62</v>
      </c>
      <c r="H13" s="11" t="s">
        <v>62</v>
      </c>
    </row>
    <row r="14" spans="1:8" ht="15.75" thickBot="1" x14ac:dyDescent="0.3">
      <c r="B14" s="12" t="s">
        <v>27</v>
      </c>
      <c r="C14" s="12" t="s">
        <v>28</v>
      </c>
      <c r="D14" s="12" t="s">
        <v>57</v>
      </c>
      <c r="E14" s="12" t="s">
        <v>66</v>
      </c>
      <c r="F14" s="12" t="s">
        <v>68</v>
      </c>
      <c r="G14" s="12" t="s">
        <v>63</v>
      </c>
      <c r="H14" s="12" t="s">
        <v>64</v>
      </c>
    </row>
    <row r="15" spans="1:8" x14ac:dyDescent="0.25">
      <c r="B15" s="9" t="s">
        <v>45</v>
      </c>
      <c r="C15" s="9" t="s">
        <v>5</v>
      </c>
      <c r="D15" s="9">
        <v>24</v>
      </c>
      <c r="E15" s="9">
        <v>0.74999999999999989</v>
      </c>
      <c r="F15" s="9">
        <v>24</v>
      </c>
      <c r="G15" s="9">
        <v>12.000000000000002</v>
      </c>
      <c r="H15" s="9">
        <v>4.0000000000000027</v>
      </c>
    </row>
    <row r="16" spans="1:8" x14ac:dyDescent="0.25">
      <c r="B16" s="9" t="s">
        <v>48</v>
      </c>
      <c r="C16" s="9" t="s">
        <v>6</v>
      </c>
      <c r="D16" s="9">
        <v>6</v>
      </c>
      <c r="E16" s="9">
        <v>0.50000000000000011</v>
      </c>
      <c r="F16" s="9">
        <v>6</v>
      </c>
      <c r="G16" s="9">
        <v>0.66666666666666707</v>
      </c>
      <c r="H16" s="9">
        <v>2</v>
      </c>
    </row>
    <row r="17" spans="2:8" x14ac:dyDescent="0.25">
      <c r="B17" s="9" t="s">
        <v>50</v>
      </c>
      <c r="C17" s="9" t="s">
        <v>7</v>
      </c>
      <c r="D17" s="9">
        <v>-1.5000000000000002</v>
      </c>
      <c r="E17" s="9">
        <v>0</v>
      </c>
      <c r="F17" s="9">
        <v>1</v>
      </c>
      <c r="G17" s="9">
        <v>1E+30</v>
      </c>
      <c r="H17" s="9">
        <v>2.5000000000000004</v>
      </c>
    </row>
    <row r="18" spans="2:8" ht="15.75" thickBot="1" x14ac:dyDescent="0.3">
      <c r="B18" s="7" t="s">
        <v>53</v>
      </c>
      <c r="C18" s="7" t="s">
        <v>8</v>
      </c>
      <c r="D18" s="7">
        <v>1.4999999999999998</v>
      </c>
      <c r="E18" s="7">
        <v>0</v>
      </c>
      <c r="F18" s="7">
        <v>2</v>
      </c>
      <c r="G18" s="7">
        <v>1E+30</v>
      </c>
      <c r="H18" s="7">
        <v>0.50000000000000022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60" zoomScaleNormal="160" workbookViewId="0">
      <selection activeCell="D6" sqref="D6"/>
    </sheetView>
  </sheetViews>
  <sheetFormatPr defaultRowHeight="15" x14ac:dyDescent="0.25"/>
  <cols>
    <col min="1" max="1" width="15.7109375" customWidth="1"/>
    <col min="2" max="2" width="11.42578125" customWidth="1"/>
    <col min="3" max="3" width="11.28515625" customWidth="1"/>
    <col min="4" max="4" width="10.85546875" customWidth="1"/>
    <col min="5" max="5" width="16" customWidth="1"/>
  </cols>
  <sheetData>
    <row r="1" spans="1:5" x14ac:dyDescent="0.25">
      <c r="A1" s="13" t="s">
        <v>0</v>
      </c>
      <c r="B1" s="13"/>
      <c r="C1" s="13"/>
      <c r="D1" s="13"/>
      <c r="E1" s="13"/>
    </row>
    <row r="3" spans="1:5" x14ac:dyDescent="0.25">
      <c r="A3" s="14" t="s">
        <v>1</v>
      </c>
      <c r="B3" s="14"/>
      <c r="C3" s="14"/>
      <c r="D3" s="14"/>
      <c r="E3" s="14"/>
    </row>
    <row r="5" spans="1:5" ht="45.75" customHeight="1" x14ac:dyDescent="0.25">
      <c r="B5" s="1" t="s">
        <v>2</v>
      </c>
      <c r="C5" s="1" t="s">
        <v>3</v>
      </c>
      <c r="E5" s="1" t="s">
        <v>9</v>
      </c>
    </row>
    <row r="6" spans="1:5" x14ac:dyDescent="0.25">
      <c r="A6" t="s">
        <v>4</v>
      </c>
      <c r="B6" s="3">
        <v>5</v>
      </c>
      <c r="C6" s="3">
        <v>4</v>
      </c>
      <c r="D6">
        <f>SUMPRODUCT(B6:C6,B$15:C$15)</f>
        <v>21</v>
      </c>
    </row>
    <row r="7" spans="1:5" x14ac:dyDescent="0.25">
      <c r="A7" t="s">
        <v>5</v>
      </c>
      <c r="B7" s="4">
        <v>6</v>
      </c>
      <c r="C7" s="4">
        <v>4</v>
      </c>
      <c r="D7">
        <f t="shared" ref="D7:D10" si="0">SUMPRODUCT(B7:C7,B$15:C$15)</f>
        <v>24</v>
      </c>
      <c r="E7" s="5">
        <v>24</v>
      </c>
    </row>
    <row r="8" spans="1:5" x14ac:dyDescent="0.25">
      <c r="A8" t="s">
        <v>6</v>
      </c>
      <c r="B8" s="4">
        <v>1</v>
      </c>
      <c r="C8" s="4">
        <v>2</v>
      </c>
      <c r="D8">
        <f t="shared" si="0"/>
        <v>6</v>
      </c>
      <c r="E8" s="5">
        <v>6</v>
      </c>
    </row>
    <row r="9" spans="1:5" x14ac:dyDescent="0.25">
      <c r="A9" t="s">
        <v>7</v>
      </c>
      <c r="B9" s="4">
        <v>-1</v>
      </c>
      <c r="C9" s="4">
        <v>1</v>
      </c>
      <c r="D9">
        <f t="shared" si="0"/>
        <v>-1.5000000000000002</v>
      </c>
      <c r="E9" s="5">
        <v>1</v>
      </c>
    </row>
    <row r="10" spans="1:5" x14ac:dyDescent="0.25">
      <c r="A10" t="s">
        <v>8</v>
      </c>
      <c r="B10" s="4">
        <v>0</v>
      </c>
      <c r="C10" s="4">
        <v>1</v>
      </c>
      <c r="D10">
        <f t="shared" si="0"/>
        <v>1.4999999999999998</v>
      </c>
      <c r="E10" s="5">
        <v>2</v>
      </c>
    </row>
    <row r="12" spans="1:5" x14ac:dyDescent="0.25">
      <c r="A12" s="14" t="s">
        <v>10</v>
      </c>
      <c r="B12" s="14"/>
      <c r="C12" s="14"/>
      <c r="D12" s="14"/>
      <c r="E12" s="14"/>
    </row>
    <row r="14" spans="1:5" ht="30.75" customHeight="1" x14ac:dyDescent="0.25">
      <c r="B14" t="s">
        <v>12</v>
      </c>
      <c r="C14" t="s">
        <v>13</v>
      </c>
      <c r="D14" s="1" t="s">
        <v>14</v>
      </c>
    </row>
    <row r="15" spans="1:5" x14ac:dyDescent="0.25">
      <c r="A15" t="s">
        <v>11</v>
      </c>
      <c r="B15" s="2">
        <v>3</v>
      </c>
      <c r="C15" s="2">
        <v>1.4999999999999998</v>
      </c>
      <c r="D15" s="2">
        <f>D6</f>
        <v>21</v>
      </c>
    </row>
  </sheetData>
  <mergeCells count="3">
    <mergeCell ref="A1:E1"/>
    <mergeCell ref="A3:E3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2026-01-29T13:54:59Z</dcterms:modified>
</cp:coreProperties>
</file>